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data (2)" sheetId="4" r:id="rId1"/>
    <sheet name="data" sheetId="1" r:id="rId2"/>
    <sheet name="ии скор" sheetId="3" r:id="rId3"/>
    <sheet name="Лист2" sheetId="2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0" i="3" l="1"/>
  <c r="E44" i="3"/>
  <c r="E73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50" i="3"/>
  <c r="E51" i="3"/>
  <c r="E52" i="3"/>
  <c r="E53" i="3"/>
  <c r="E54" i="3"/>
  <c r="E55" i="3"/>
  <c r="E56" i="3"/>
  <c r="E45" i="3"/>
  <c r="E42" i="3"/>
  <c r="E43" i="3"/>
  <c r="E57" i="3"/>
  <c r="E46" i="3"/>
  <c r="E47" i="3"/>
  <c r="E48" i="3"/>
  <c r="E49" i="3"/>
  <c r="E39" i="3"/>
  <c r="E41" i="3"/>
  <c r="E34" i="3"/>
  <c r="E35" i="3"/>
  <c r="E36" i="3"/>
  <c r="E37" i="3"/>
  <c r="E38" i="3"/>
  <c r="E40" i="3"/>
  <c r="E26" i="3"/>
  <c r="E27" i="3"/>
  <c r="E28" i="3"/>
  <c r="E29" i="3"/>
  <c r="E30" i="3"/>
  <c r="E31" i="3"/>
  <c r="E32" i="3"/>
  <c r="E33" i="3"/>
  <c r="E18" i="3"/>
  <c r="E19" i="3"/>
  <c r="E20" i="3"/>
  <c r="E21" i="3"/>
  <c r="E22" i="3"/>
  <c r="E23" i="3"/>
  <c r="E24" i="3"/>
  <c r="E25" i="3"/>
  <c r="E11" i="3"/>
  <c r="E12" i="3"/>
  <c r="E13" i="3"/>
  <c r="E14" i="3"/>
  <c r="E15" i="3"/>
  <c r="E16" i="3"/>
  <c r="E17" i="3"/>
  <c r="E2" i="3"/>
  <c r="C2" i="3"/>
  <c r="C9" i="3"/>
  <c r="C8" i="3"/>
  <c r="C7" i="3"/>
  <c r="E6" i="3"/>
  <c r="E7" i="3"/>
  <c r="E8" i="3"/>
  <c r="E9" i="3"/>
  <c r="C6" i="3"/>
  <c r="E5" i="3"/>
  <c r="C5" i="3"/>
  <c r="C4" i="3"/>
  <c r="E4" i="3"/>
  <c r="C3" i="3"/>
  <c r="E3" i="3" s="1"/>
  <c r="I67" i="1"/>
  <c r="I68" i="1" s="1"/>
  <c r="I69" i="1" s="1"/>
  <c r="I70" i="1" s="1"/>
  <c r="I71" i="1" s="1"/>
  <c r="I72" i="1" s="1"/>
  <c r="I73" i="1" s="1"/>
  <c r="I51" i="1"/>
  <c r="I52" i="1" s="1"/>
  <c r="I53" i="1" s="1"/>
  <c r="I54" i="1" s="1"/>
  <c r="I55" i="1" s="1"/>
  <c r="I56" i="1" s="1"/>
  <c r="I57" i="1" s="1"/>
  <c r="I43" i="1"/>
  <c r="I44" i="1" s="1"/>
  <c r="I45" i="1" s="1"/>
  <c r="I46" i="1" s="1"/>
  <c r="I47" i="1" s="1"/>
  <c r="I48" i="1" s="1"/>
  <c r="I49" i="1" s="1"/>
  <c r="I10" i="1"/>
  <c r="I11" i="1" s="1"/>
  <c r="I12" i="1" s="1"/>
  <c r="I13" i="1" s="1"/>
  <c r="I14" i="1" s="1"/>
  <c r="I15" i="1" s="1"/>
  <c r="I16" i="1" s="1"/>
  <c r="I17" i="1" s="1"/>
  <c r="I35" i="1"/>
  <c r="I36" i="1" s="1"/>
  <c r="I37" i="1" s="1"/>
  <c r="I38" i="1" s="1"/>
  <c r="I39" i="1" s="1"/>
  <c r="I40" i="1" s="1"/>
  <c r="I41" i="1" s="1"/>
  <c r="I27" i="1"/>
  <c r="I28" i="1" s="1"/>
  <c r="I29" i="1" s="1"/>
  <c r="I30" i="1" s="1"/>
  <c r="I31" i="1" s="1"/>
  <c r="I32" i="1" s="1"/>
  <c r="I33" i="1" s="1"/>
  <c r="I19" i="1"/>
  <c r="I20" i="1" s="1"/>
  <c r="I21" i="1" s="1"/>
  <c r="I22" i="1" s="1"/>
  <c r="I23" i="1" s="1"/>
  <c r="I24" i="1" s="1"/>
  <c r="I25" i="1" s="1"/>
</calcChain>
</file>

<file path=xl/sharedStrings.xml><?xml version="1.0" encoding="utf-8"?>
<sst xmlns="http://schemas.openxmlformats.org/spreadsheetml/2006/main" count="409" uniqueCount="327">
  <si>
    <t>year</t>
  </si>
  <si>
    <t>ROA</t>
  </si>
  <si>
    <t>ROE</t>
  </si>
  <si>
    <t>AI_Score</t>
  </si>
  <si>
    <t>R&amp;D</t>
  </si>
  <si>
    <t>F_SIZ</t>
  </si>
  <si>
    <t>LEV</t>
  </si>
  <si>
    <t>F_AGE</t>
  </si>
  <si>
    <t>MBR</t>
  </si>
  <si>
    <t>L_ROA</t>
  </si>
  <si>
    <t>L_ROE</t>
  </si>
  <si>
    <t>AI_RD</t>
  </si>
  <si>
    <t>2017-2024</t>
  </si>
  <si>
    <t>Amazon</t>
  </si>
  <si>
    <t>JPMorgan Chase</t>
  </si>
  <si>
    <t>Goldman Sachs</t>
  </si>
  <si>
    <t>Mastercard</t>
  </si>
  <si>
    <t>American Express</t>
  </si>
  <si>
    <t>Johnson &amp; Johnson</t>
  </si>
  <si>
    <t>Apple</t>
  </si>
  <si>
    <t>Microsoft</t>
  </si>
  <si>
    <t>Alphabet (Google)</t>
  </si>
  <si>
    <t>Meta Platforms</t>
  </si>
  <si>
    <t>Intel</t>
  </si>
  <si>
    <t>UPS</t>
  </si>
  <si>
    <t>eBay</t>
  </si>
  <si>
    <t>Shopify</t>
  </si>
  <si>
    <t>Bank of America</t>
  </si>
  <si>
    <t>Citigroup</t>
  </si>
  <si>
    <t>Morgan Stanley</t>
  </si>
  <si>
    <t>Big Banks Spend Billions On Tech But Innovation Lags | Bankrate</t>
  </si>
  <si>
    <t>23.74%</t>
  </si>
  <si>
    <t>17.19%</t>
  </si>
  <si>
    <t>-1.98%</t>
  </si>
  <si>
    <t>27.98%</t>
  </si>
  <si>
    <t>27.07%</t>
  </si>
  <si>
    <t>21.07%</t>
  </si>
  <si>
    <t>27.02%</t>
  </si>
  <si>
    <t>12.47%</t>
  </si>
  <si>
    <t>10.33%</t>
  </si>
  <si>
    <t>6.22%</t>
  </si>
  <si>
    <t>-0.63%</t>
  </si>
  <si>
    <t>8.98%</t>
  </si>
  <si>
    <t>7.88%</t>
  </si>
  <si>
    <t>5.84%</t>
  </si>
  <si>
    <t>7.11%</t>
  </si>
  <si>
    <t>2.92%</t>
  </si>
  <si>
    <t>$637,959</t>
  </si>
  <si>
    <t>$574,785</t>
  </si>
  <si>
    <t>$513,983</t>
  </si>
  <si>
    <t>$469,822</t>
  </si>
  <si>
    <t>$386,064</t>
  </si>
  <si>
    <t>$280,522</t>
  </si>
  <si>
    <t>$232,887</t>
  </si>
  <si>
    <t>$177,866</t>
  </si>
  <si>
    <t>$88,544</t>
  </si>
  <si>
    <t>$85,622</t>
  </si>
  <si>
    <t>$73,213</t>
  </si>
  <si>
    <t>$56,052</t>
  </si>
  <si>
    <t>$42,740</t>
  </si>
  <si>
    <t>$35,931</t>
  </si>
  <si>
    <t>$28,837</t>
  </si>
  <si>
    <t>$22,620</t>
  </si>
  <si>
    <t>1.38%</t>
  </si>
  <si>
    <t>1.24%</t>
  </si>
  <si>
    <t>0.94%</t>
  </si>
  <si>
    <t>1.25%</t>
  </si>
  <si>
    <t>0.84%</t>
  </si>
  <si>
    <t>1.27%</t>
  </si>
  <si>
    <t>1.18%</t>
  </si>
  <si>
    <t>0.88%</t>
  </si>
  <si>
    <t>16.63%</t>
  </si>
  <si>
    <t>15.15%</t>
  </si>
  <si>
    <t>12.46%</t>
  </si>
  <si>
    <t>16.16%</t>
  </si>
  <si>
    <t>10.19%</t>
  </si>
  <si>
    <t>13.21%</t>
  </si>
  <si>
    <t>11.94%</t>
  </si>
  <si>
    <t>8.78%</t>
  </si>
  <si>
    <t>$154.792B</t>
  </si>
  <si>
    <r>
      <t>$239.425B</t>
    </r>
    <r>
      <rPr>
        <sz val="8"/>
        <color rgb="FF444444"/>
        <rFont val="Arial"/>
        <family val="2"/>
        <charset val="204"/>
      </rPr>
      <t>,</t>
    </r>
  </si>
  <si>
    <r>
      <t> </t>
    </r>
    <r>
      <rPr>
        <b/>
        <sz val="8"/>
        <color rgb="FF444444"/>
        <rFont val="Arial"/>
        <family val="2"/>
        <charset val="204"/>
      </rPr>
      <t>$278.906B</t>
    </r>
  </si>
  <si>
    <t>$127,202</t>
  </si>
  <si>
    <t>$129,911</t>
  </si>
  <si>
    <t>$142,515</t>
  </si>
  <si>
    <t>$129,824</t>
  </si>
  <si>
    <t>$114,579</t>
  </si>
  <si>
    <t>$12 млр</t>
  </si>
  <si>
    <t>JPMorgan Chase To Spend $12 Billion On Technology...And Why Other Banks Can’t Keep Up</t>
  </si>
  <si>
    <t>закр</t>
  </si>
  <si>
    <t>$17,232</t>
  </si>
  <si>
    <t>$15,085</t>
  </si>
  <si>
    <t>$14,135</t>
  </si>
  <si>
    <t>$14,277</t>
  </si>
  <si>
    <t>$12,159</t>
  </si>
  <si>
    <t>$11,355</t>
  </si>
  <si>
    <t>$10,775</t>
  </si>
  <si>
    <t>$10,594</t>
  </si>
  <si>
    <r>
      <t> </t>
    </r>
    <r>
      <rPr>
        <b/>
        <sz val="8"/>
        <color rgb="FF444444"/>
        <rFont val="Arial"/>
        <family val="2"/>
        <charset val="204"/>
      </rPr>
      <t>$79.99B</t>
    </r>
  </si>
  <si>
    <t>$85.159B</t>
  </si>
  <si>
    <t>$88.821</t>
  </si>
  <si>
    <t>19.87%</t>
  </si>
  <si>
    <t>48.95%</t>
  </si>
  <si>
    <t>23.73%</t>
  </si>
  <si>
    <t>29.86%</t>
  </si>
  <si>
    <t>23.35%</t>
  </si>
  <si>
    <t>25.47%</t>
  </si>
  <si>
    <t>24.42%</t>
  </si>
  <si>
    <t>1.88%</t>
  </si>
  <si>
    <t>7.91%</t>
  </si>
  <si>
    <t>19.49%</t>
  </si>
  <si>
    <t>9.99%</t>
  </si>
  <si>
    <t>11.76%</t>
  </si>
  <si>
    <t>8.93%</t>
  </si>
  <si>
    <t>9.78%</t>
  </si>
  <si>
    <t>9.86%</t>
  </si>
  <si>
    <t>0.85%</t>
  </si>
  <si>
    <t>27.91%</t>
  </si>
  <si>
    <t>29.39%</t>
  </si>
  <si>
    <t>27.46%</t>
  </si>
  <si>
    <t>28.75%</t>
  </si>
  <si>
    <t>19.44%</t>
  </si>
  <si>
    <t>17.13%</t>
  </si>
  <si>
    <t>16.33%</t>
  </si>
  <si>
    <t>13.83%</t>
  </si>
  <si>
    <t>145.35%</t>
  </si>
  <si>
    <t>156.04%</t>
  </si>
  <si>
    <t>163.45%</t>
  </si>
  <si>
    <t>149.81%</t>
  </si>
  <si>
    <t>90.59%</t>
  </si>
  <si>
    <t>60.18%</t>
  </si>
  <si>
    <t>50.92%</t>
  </si>
  <si>
    <t>37.37%</t>
  </si>
  <si>
    <t>$31,370</t>
  </si>
  <si>
    <t>$29,915</t>
  </si>
  <si>
    <t>$26,251</t>
  </si>
  <si>
    <t>$21,914</t>
  </si>
  <si>
    <t>$18,752</t>
  </si>
  <si>
    <t>$16,217</t>
  </si>
  <si>
    <t>$14,236</t>
  </si>
  <si>
    <t>$11,581</t>
  </si>
  <si>
    <t>$88,821</t>
  </si>
  <si>
    <t>$85,159</t>
  </si>
  <si>
    <t>$79,990</t>
  </si>
  <si>
    <t>$78,740</t>
  </si>
  <si>
    <t>$82,584</t>
  </si>
  <si>
    <t>$82,059</t>
  </si>
  <si>
    <t>$81,581</t>
  </si>
  <si>
    <t>$76,450</t>
  </si>
  <si>
    <t>Johnson &amp; Johnson Revenue 2010-2024 | JNJ | MacroTrends</t>
  </si>
  <si>
    <t>33.36%</t>
  </si>
  <si>
    <t>38.40%</t>
  </si>
  <si>
    <t>39.32%</t>
  </si>
  <si>
    <t>48.39%</t>
  </si>
  <si>
    <t>42.19%</t>
  </si>
  <si>
    <t>42.89%</t>
  </si>
  <si>
    <t>39.45%</t>
  </si>
  <si>
    <t>17.00%</t>
  </si>
  <si>
    <t>18.07%</t>
  </si>
  <si>
    <t>19.33%</t>
  </si>
  <si>
    <t>18.82%</t>
  </si>
  <si>
    <t>21.60%</t>
  </si>
  <si>
    <t>17.22%</t>
  </si>
  <si>
    <t>15.95%</t>
  </si>
  <si>
    <t>13.14%</t>
  </si>
  <si>
    <t>5.64%</t>
  </si>
  <si>
    <t>$29,510</t>
  </si>
  <si>
    <t>$27,195</t>
  </si>
  <si>
    <t>$24,512</t>
  </si>
  <si>
    <t>$20,716</t>
  </si>
  <si>
    <t>$19,269</t>
  </si>
  <si>
    <t>$16,876</t>
  </si>
  <si>
    <t>$14,726</t>
  </si>
  <si>
    <t>$13,037</t>
  </si>
  <si>
    <t>$245,122</t>
  </si>
  <si>
    <t>$211,915</t>
  </si>
  <si>
    <t>$198,270</t>
  </si>
  <si>
    <t>$168,088</t>
  </si>
  <si>
    <t>$143,015</t>
  </si>
  <si>
    <t>$125,843</t>
  </si>
  <si>
    <t>$110,360</t>
  </si>
  <si>
    <t>$96,571</t>
  </si>
  <si>
    <t>0.76</t>
  </si>
  <si>
    <t>0.98</t>
  </si>
  <si>
    <t>0.99</t>
  </si>
  <si>
    <t>23.52%</t>
  </si>
  <si>
    <t>19.02%</t>
  </si>
  <si>
    <t>16.71%</t>
  </si>
  <si>
    <t>22.21</t>
  </si>
  <si>
    <t>13.76%</t>
  </si>
  <si>
    <t>13.19%</t>
  </si>
  <si>
    <t>14.08%</t>
  </si>
  <si>
    <t>6.86%</t>
  </si>
  <si>
    <t>32.48%</t>
  </si>
  <si>
    <t>27.22%</t>
  </si>
  <si>
    <t>23.54%</t>
  </si>
  <si>
    <t>31.56</t>
  </si>
  <si>
    <t>19.03%</t>
  </si>
  <si>
    <t>17.79%</t>
  </si>
  <si>
    <t>18.34%</t>
  </si>
  <si>
    <t>8.40%</t>
  </si>
  <si>
    <t>$49,326</t>
  </si>
  <si>
    <t>$45,427</t>
  </si>
  <si>
    <t>$39,500</t>
  </si>
  <si>
    <t>$31,562</t>
  </si>
  <si>
    <t>$27,573</t>
  </si>
  <si>
    <t>$26,018</t>
  </si>
  <si>
    <t>$21,419</t>
  </si>
  <si>
    <t>$16,625</t>
  </si>
  <si>
    <t>$350,018</t>
  </si>
  <si>
    <t>$307,394</t>
  </si>
  <si>
    <t>$282,836</t>
  </si>
  <si>
    <t>$257,637</t>
  </si>
  <si>
    <t>$182,527</t>
  </si>
  <si>
    <t>$161,857</t>
  </si>
  <si>
    <t>$136,819</t>
  </si>
  <si>
    <t>$110,855</t>
  </si>
  <si>
    <t>25.31%</t>
  </si>
  <si>
    <t>18.68%</t>
  </si>
  <si>
    <t>13.28%</t>
  </si>
  <si>
    <t>23.51%</t>
  </si>
  <si>
    <t>19.97%</t>
  </si>
  <si>
    <t>15.27%</t>
  </si>
  <si>
    <t>23.97%</t>
  </si>
  <si>
    <t>20.81%</t>
  </si>
  <si>
    <t>38.17%</t>
  </si>
  <si>
    <t>28.19%</t>
  </si>
  <si>
    <t>18.60%</t>
  </si>
  <si>
    <t>29.71%</t>
  </si>
  <si>
    <t>25.25%</t>
  </si>
  <si>
    <t>27.51%</t>
  </si>
  <si>
    <t>23.22%</t>
  </si>
  <si>
    <t>0.51</t>
  </si>
  <si>
    <t>0.50</t>
  </si>
  <si>
    <t>0.48</t>
  </si>
  <si>
    <t>0.33</t>
  </si>
  <si>
    <t>0.24</t>
  </si>
  <si>
    <t>0.32</t>
  </si>
  <si>
    <t>0.16</t>
  </si>
  <si>
    <t>0.14</t>
  </si>
  <si>
    <t>0.87</t>
  </si>
  <si>
    <t>0.74</t>
  </si>
  <si>
    <t>0.77</t>
  </si>
  <si>
    <t>0.89</t>
  </si>
  <si>
    <t>0.72</t>
  </si>
  <si>
    <t>0.79</t>
  </si>
  <si>
    <t>-9.51%</t>
  </si>
  <si>
    <t>0.90%</t>
  </si>
  <si>
    <t>4.56%</t>
  </si>
  <si>
    <t>12.39%</t>
  </si>
  <si>
    <t>13.97%</t>
  </si>
  <si>
    <t>15.87%</t>
  </si>
  <si>
    <t>16.49%</t>
  </si>
  <si>
    <t>7.87%</t>
  </si>
  <si>
    <t>-17.01%</t>
  </si>
  <si>
    <t>1.61%</t>
  </si>
  <si>
    <t>22.67%</t>
  </si>
  <si>
    <t>26.63%</t>
  </si>
  <si>
    <t>28.03%</t>
  </si>
  <si>
    <t>29.42%</t>
  </si>
  <si>
    <t>13.94%</t>
  </si>
  <si>
    <t>35.31%</t>
  </si>
  <si>
    <t>48.23%</t>
  </si>
  <si>
    <t>-22.76%</t>
  </si>
  <si>
    <t>145.12%</t>
  </si>
  <si>
    <t>197.15%</t>
  </si>
  <si>
    <t>46.24%</t>
  </si>
  <si>
    <t>36.20%</t>
  </si>
  <si>
    <t>-9.59%</t>
  </si>
  <si>
    <t>9.74%</t>
  </si>
  <si>
    <t>13.37%</t>
  </si>
  <si>
    <t>-6.15%</t>
  </si>
  <si>
    <t>51.14%</t>
  </si>
  <si>
    <t>29.56%</t>
  </si>
  <si>
    <t>8.89%</t>
  </si>
  <si>
    <t>10.65%</t>
  </si>
  <si>
    <t>-3.90%</t>
  </si>
  <si>
    <t>.</t>
  </si>
  <si>
    <t>16.58%</t>
  </si>
  <si>
    <t>-31.07%</t>
  </si>
  <si>
    <t>23.47%</t>
  </si>
  <si>
    <t>5.38%</t>
  </si>
  <si>
    <t>-4.33%</t>
  </si>
  <si>
    <t>-3.38%</t>
  </si>
  <si>
    <t>-4.22%</t>
  </si>
  <si>
    <t>20.32%</t>
  </si>
  <si>
    <t>1.59%</t>
  </si>
  <si>
    <t>-39.05%</t>
  </si>
  <si>
    <t>6.32%</t>
  </si>
  <si>
    <t>-4.94%</t>
  </si>
  <si>
    <t>-3.68%</t>
  </si>
  <si>
    <t>-4.74%</t>
  </si>
  <si>
    <t>словарь</t>
  </si>
  <si>
    <t xml:space="preserve">всего слов </t>
  </si>
  <si>
    <t xml:space="preserve">год </t>
  </si>
  <si>
    <t xml:space="preserve">ии скор </t>
  </si>
  <si>
    <t>Letter from Our Chairman and CEO 2019 | Johnson &amp; Johnson</t>
  </si>
  <si>
    <t>Letter from Our Chairman and CEO 2020 | Johnson &amp; Johnson</t>
  </si>
  <si>
    <t>10-K 2017, 9.30.2017</t>
  </si>
  <si>
    <t>10-K 2020, 9.26.2020</t>
  </si>
  <si>
    <t>10-K 2021, 9.25.2021</t>
  </si>
  <si>
    <t>10-K 2022, 09.24.2022-2022-10-27-08-59</t>
  </si>
  <si>
    <t>10-K 2023, 09.30.2023-2023-11-02-08-16</t>
  </si>
  <si>
    <t>count amount of terms connected to AI/ML/R&amp;D in the text</t>
  </si>
  <si>
    <t>10-K 2024, 09.28.2024-2024-10-31-12-16</t>
  </si>
  <si>
    <t>msft-10k_20170630.htm</t>
  </si>
  <si>
    <t>msft-10k_20180630.htm</t>
  </si>
  <si>
    <t>msft-10k_20190630.htm</t>
  </si>
  <si>
    <t>msft-10k_20200630.htm</t>
  </si>
  <si>
    <t>msft-10k_20210630.htm</t>
  </si>
  <si>
    <t>msft-10k_20220630.htm</t>
  </si>
  <si>
    <t>Form 10-K for Microsoft Corp filed 07/27/2023</t>
  </si>
  <si>
    <t>10-K</t>
  </si>
  <si>
    <t>Document</t>
  </si>
  <si>
    <t>goog-20201231</t>
  </si>
  <si>
    <t>goog-20211231</t>
  </si>
  <si>
    <t>goog-20221231</t>
  </si>
  <si>
    <t>GOOG 10-K 2023</t>
  </si>
  <si>
    <t>GOOG 10-K 2024</t>
  </si>
  <si>
    <t>fb-20211231</t>
  </si>
  <si>
    <t>0001326801-20-000013</t>
  </si>
  <si>
    <t>0000050863-18-000007.pdf</t>
  </si>
  <si>
    <t>0000050863-19-000007.pdf</t>
  </si>
  <si>
    <t>0000050863-20-000011.pdf</t>
  </si>
  <si>
    <t>12.26.2020 (Q4) - 10K Document</t>
  </si>
  <si>
    <t>0000050863-24-000010_intc-20231230.pdf</t>
  </si>
  <si>
    <t>0000050863-25-000009_intc-20241228.pdf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</si>
</sst>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0" formatCode="0.0000"/>
    <numFmt numFmtId="175" formatCode="0.0000000000E+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1"/>
      <color rgb="FF515260"/>
      <name val="Arial"/>
      <family val="2"/>
      <charset val="204"/>
    </font>
    <font>
      <sz val="10"/>
      <color rgb="FF515260"/>
      <name val="Arial"/>
      <family val="2"/>
      <charset val="204"/>
    </font>
    <font>
      <u/>
      <sz val="11"/>
      <color theme="10"/>
      <name val="Calibri"/>
      <family val="2"/>
      <scheme val="minor"/>
    </font>
    <font>
      <sz val="8"/>
      <color rgb="FF444444"/>
      <name val="Arial"/>
      <family val="2"/>
      <charset val="204"/>
    </font>
    <font>
      <b/>
      <sz val="8"/>
      <color rgb="FF444444"/>
      <name val="Arial"/>
      <family val="2"/>
      <charset val="204"/>
    </font>
    <font>
      <sz val="10"/>
      <color rgb="FF404040"/>
      <name val="Segoe UI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DDDDDD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41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left" vertical="center" wrapText="1"/>
    </xf>
    <xf numFmtId="0" fontId="4" fillId="0" borderId="0" xfId="0" applyFont="1"/>
    <xf numFmtId="0" fontId="5" fillId="0" borderId="0" xfId="2"/>
    <xf numFmtId="0" fontId="6" fillId="0" borderId="2" xfId="0" applyFont="1" applyBorder="1" applyAlignment="1">
      <alignment horizontal="center" vertical="top" wrapText="1"/>
    </xf>
    <xf numFmtId="0" fontId="6" fillId="0" borderId="0" xfId="0" applyFont="1"/>
    <xf numFmtId="0" fontId="0" fillId="0" borderId="0" xfId="0" applyNumberFormat="1"/>
    <xf numFmtId="0" fontId="6" fillId="0" borderId="2" xfId="0" applyNumberFormat="1" applyFont="1" applyBorder="1" applyAlignment="1">
      <alignment horizontal="center" vertical="top" wrapText="1"/>
    </xf>
    <xf numFmtId="0" fontId="6" fillId="2" borderId="2" xfId="0" applyFont="1" applyFill="1" applyBorder="1" applyAlignment="1">
      <alignment horizontal="center" vertical="center" wrapText="1"/>
    </xf>
    <xf numFmtId="0" fontId="0" fillId="3" borderId="0" xfId="0" applyFill="1"/>
    <xf numFmtId="0" fontId="0" fillId="4" borderId="0" xfId="0" applyFill="1"/>
    <xf numFmtId="0" fontId="6" fillId="4" borderId="2" xfId="0" applyFont="1" applyFill="1" applyBorder="1" applyAlignment="1">
      <alignment horizontal="center" vertical="top" wrapText="1"/>
    </xf>
    <xf numFmtId="0" fontId="6" fillId="4" borderId="2" xfId="0" applyFont="1" applyFill="1" applyBorder="1" applyAlignment="1">
      <alignment horizontal="center" vertical="center" wrapText="1"/>
    </xf>
    <xf numFmtId="0" fontId="0" fillId="4" borderId="0" xfId="0" applyNumberFormat="1" applyFill="1"/>
    <xf numFmtId="0" fontId="6" fillId="4" borderId="0" xfId="0" applyFont="1" applyFill="1"/>
    <xf numFmtId="0" fontId="7" fillId="4" borderId="0" xfId="0" applyFont="1" applyFill="1"/>
    <xf numFmtId="0" fontId="5" fillId="4" borderId="0" xfId="2" applyFill="1"/>
    <xf numFmtId="0" fontId="6" fillId="2" borderId="0" xfId="0" applyNumberFormat="1" applyFont="1" applyFill="1" applyBorder="1" applyAlignment="1">
      <alignment horizontal="center" vertical="center" wrapText="1"/>
    </xf>
    <xf numFmtId="0" fontId="0" fillId="5" borderId="0" xfId="0" applyFill="1"/>
    <xf numFmtId="0" fontId="6" fillId="5" borderId="2" xfId="0" applyFont="1" applyFill="1" applyBorder="1" applyAlignment="1">
      <alignment horizontal="center" vertical="center" wrapText="1"/>
    </xf>
    <xf numFmtId="0" fontId="8" fillId="5" borderId="0" xfId="0" applyFont="1" applyFill="1"/>
    <xf numFmtId="0" fontId="0" fillId="6" borderId="0" xfId="0" applyFill="1"/>
    <xf numFmtId="0" fontId="6" fillId="6" borderId="2" xfId="0" applyFont="1" applyFill="1" applyBorder="1" applyAlignment="1">
      <alignment horizontal="center" vertical="center" wrapText="1"/>
    </xf>
    <xf numFmtId="0" fontId="7" fillId="6" borderId="0" xfId="0" applyFont="1" applyFill="1"/>
    <xf numFmtId="0" fontId="6" fillId="6" borderId="0" xfId="0" applyFont="1" applyFill="1"/>
    <xf numFmtId="0" fontId="0" fillId="7" borderId="0" xfId="0" applyFill="1"/>
    <xf numFmtId="0" fontId="6" fillId="0" borderId="0" xfId="0" applyNumberFormat="1" applyFont="1"/>
    <xf numFmtId="0" fontId="6" fillId="0" borderId="0" xfId="0" applyNumberFormat="1" applyFont="1" applyFill="1" applyBorder="1"/>
    <xf numFmtId="170" fontId="0" fillId="0" borderId="0" xfId="1" applyNumberFormat="1" applyFont="1"/>
    <xf numFmtId="0" fontId="0" fillId="0" borderId="0" xfId="0" applyFill="1"/>
    <xf numFmtId="0" fontId="0" fillId="0" borderId="0" xfId="0" applyNumberFormat="1" applyFill="1"/>
    <xf numFmtId="0" fontId="2" fillId="0" borderId="0" xfId="0" applyFont="1" applyFill="1"/>
    <xf numFmtId="0" fontId="5" fillId="0" borderId="0" xfId="2" applyFill="1"/>
    <xf numFmtId="10" fontId="6" fillId="0" borderId="2" xfId="0" applyNumberFormat="1" applyFont="1" applyFill="1" applyBorder="1" applyAlignment="1">
      <alignment horizontal="center" vertical="top" wrapText="1"/>
    </xf>
    <xf numFmtId="0" fontId="6" fillId="0" borderId="2" xfId="0" applyFont="1" applyFill="1" applyBorder="1" applyAlignment="1">
      <alignment horizontal="center" vertical="center" wrapText="1"/>
    </xf>
    <xf numFmtId="0" fontId="6" fillId="0" borderId="2" xfId="0" applyNumberFormat="1" applyFont="1" applyFill="1" applyBorder="1" applyAlignment="1">
      <alignment horizontal="center" vertical="top" wrapText="1"/>
    </xf>
    <xf numFmtId="175" fontId="0" fillId="0" borderId="0" xfId="0" applyNumberFormat="1" applyFill="1"/>
    <xf numFmtId="0" fontId="6" fillId="0" borderId="0" xfId="0" applyFont="1" applyFill="1"/>
    <xf numFmtId="0" fontId="6" fillId="0" borderId="2" xfId="0" applyFont="1" applyFill="1" applyBorder="1" applyAlignment="1">
      <alignment horizontal="center" vertical="top" wrapText="1"/>
    </xf>
    <xf numFmtId="0" fontId="6" fillId="0" borderId="0" xfId="0" applyNumberFormat="1" applyFont="1" applyFill="1" applyBorder="1" applyAlignment="1">
      <alignment horizontal="center" vertical="center" wrapText="1"/>
    </xf>
  </cellXfs>
  <cellStyles count="3">
    <cellStyle name="Гиперссылка" xfId="2" builtinId="8"/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0@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0@/" TargetMode="External"/><Relationship Id="rId2" Type="http://schemas.openxmlformats.org/officeDocument/2006/relationships/hyperlink" Target="https://www.macrotrends.net/stocks/charts/JNJ/johnson-johnson/revenue" TargetMode="External"/><Relationship Id="rId1" Type="http://schemas.openxmlformats.org/officeDocument/2006/relationships/hyperlink" Target="https://www.bankrate.com/banking/jpm-big-banks-spend-billions-on-tech-but-theyre-still-laggards/" TargetMode="External"/><Relationship Id="rId4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sec.gov/Archives/edgar/data/789019/000156459021039151/msft-10k_20210630.htm" TargetMode="External"/><Relationship Id="rId18" Type="http://schemas.openxmlformats.org/officeDocument/2006/relationships/hyperlink" Target="https://www.sec.gov/Archives/edgar/data/1652044/000165204418000007/goog10-kq42017.htm" TargetMode="External"/><Relationship Id="rId26" Type="http://schemas.openxmlformats.org/officeDocument/2006/relationships/hyperlink" Target="https://www.sec.gov/Archives/edgar/data/1326801/000132680122000018/fb-20211231.htm" TargetMode="External"/><Relationship Id="rId3" Type="http://schemas.openxmlformats.org/officeDocument/2006/relationships/hyperlink" Target="https://www.annualreports.com/HostedData/AnnualReportArchive/a/NASDAQ_AAPL_2017.pdf" TargetMode="External"/><Relationship Id="rId21" Type="http://schemas.openxmlformats.org/officeDocument/2006/relationships/hyperlink" Target="https://www.sec.gov/Archives/edgar/data/1652044/000165204423000016/goog-20221231.htm" TargetMode="External"/><Relationship Id="rId34" Type="http://schemas.openxmlformats.org/officeDocument/2006/relationships/hyperlink" Target="../../Downloads/0000050863-25-000009_intc-20241228.pdf" TargetMode="External"/><Relationship Id="rId7" Type="http://schemas.openxmlformats.org/officeDocument/2006/relationships/hyperlink" Target="https://s2.q4cdn.com/470004039/files/doc_earnings/2023/q4/filing/_10-K-Q4-2023-As-Filed.pdf" TargetMode="External"/><Relationship Id="rId12" Type="http://schemas.openxmlformats.org/officeDocument/2006/relationships/hyperlink" Target="https://www.sec.gov/Archives/edgar/data/789019/000156459020034944/msft-10k_20200630.htm" TargetMode="External"/><Relationship Id="rId17" Type="http://schemas.openxmlformats.org/officeDocument/2006/relationships/hyperlink" Target="https://www.sec.gov/Archives/edgar/data/1652044/000165204418000007/goog10-kq42017.htm" TargetMode="External"/><Relationship Id="rId25" Type="http://schemas.openxmlformats.org/officeDocument/2006/relationships/hyperlink" Target="https://www.sec.gov/Archives/edgar/data/1326801/000132680119000009/fb-12312018x10k.htm" TargetMode="External"/><Relationship Id="rId33" Type="http://schemas.openxmlformats.org/officeDocument/2006/relationships/hyperlink" Target="../../Downloads/0000050863-25-000009_intc-20241228.pdf" TargetMode="External"/><Relationship Id="rId2" Type="http://schemas.openxmlformats.org/officeDocument/2006/relationships/hyperlink" Target="https://www.jnj.com/letter-from-our-chairman-and-ceo-2020" TargetMode="External"/><Relationship Id="rId16" Type="http://schemas.openxmlformats.org/officeDocument/2006/relationships/hyperlink" Target="https://www.sec.gov/Archives/edgar/data/789019/000095017024087843/msft-20240630.htm" TargetMode="External"/><Relationship Id="rId20" Type="http://schemas.openxmlformats.org/officeDocument/2006/relationships/hyperlink" Target="https://www.sec.gov/Archives/edgar/data/1652044/000165204422000019/goog-20211231.htm" TargetMode="External"/><Relationship Id="rId29" Type="http://schemas.openxmlformats.org/officeDocument/2006/relationships/hyperlink" Target="https://www.intc.com/filings-reports/all-sec-filings/content/0000050863-19-000007/0000050863-19-000007.pdf" TargetMode="External"/><Relationship Id="rId1" Type="http://schemas.openxmlformats.org/officeDocument/2006/relationships/hyperlink" Target="https://www.jnj.com/letter-from-our-chairman-and-ceo-2019" TargetMode="External"/><Relationship Id="rId6" Type="http://schemas.openxmlformats.org/officeDocument/2006/relationships/hyperlink" Target="https://s2.q4cdn.com/470004039/files/doc_financials/2022/q4/_10-K-2022-(As-Filed).pdf" TargetMode="External"/><Relationship Id="rId11" Type="http://schemas.openxmlformats.org/officeDocument/2006/relationships/hyperlink" Target="https://www.sec.gov/Archives/edgar/data/789019/000156459019027952/msft-10k_20190630.htm" TargetMode="External"/><Relationship Id="rId24" Type="http://schemas.openxmlformats.org/officeDocument/2006/relationships/hyperlink" Target="https://www.sec.gov/Archives/edgar/data/1326801/000132680118000009/fb-12312017x10k.htm" TargetMode="External"/><Relationship Id="rId32" Type="http://schemas.openxmlformats.org/officeDocument/2006/relationships/hyperlink" Target="../../Downloads/0000050863-24-000010_intc-20231230.pdf" TargetMode="External"/><Relationship Id="rId5" Type="http://schemas.openxmlformats.org/officeDocument/2006/relationships/hyperlink" Target="https://s2.q4cdn.com/470004039/files/doc_financials/2021/q4/_10-K-2021-(As-Filed).pdf" TargetMode="External"/><Relationship Id="rId15" Type="http://schemas.openxmlformats.org/officeDocument/2006/relationships/hyperlink" Target="https://microsoft.gcs-web.com/static-files/e2931fdb-9823-4130-b2a8-f6b8db0b15a9" TargetMode="External"/><Relationship Id="rId23" Type="http://schemas.openxmlformats.org/officeDocument/2006/relationships/hyperlink" Target="https://abc.xyz/assets/77/51/9841ad5c4fbe85b4440c47a4df8d/goog-10-k-2024.pdf" TargetMode="External"/><Relationship Id="rId28" Type="http://schemas.openxmlformats.org/officeDocument/2006/relationships/hyperlink" Target="https://www.intc.com/filings-reports/all-sec-filings/content/0000050863-18-000007/0000050863-18-000007.pdf" TargetMode="External"/><Relationship Id="rId10" Type="http://schemas.openxmlformats.org/officeDocument/2006/relationships/hyperlink" Target="https://www.sec.gov/Archives/edgar/data/789019/000156459018019062/msft-10k_20180630.htm" TargetMode="External"/><Relationship Id="rId19" Type="http://schemas.openxmlformats.org/officeDocument/2006/relationships/hyperlink" Target="https://www.sec.gov/Archives/edgar/data/1652044/000165204421000010/goog-20201231.htm" TargetMode="External"/><Relationship Id="rId31" Type="http://schemas.openxmlformats.org/officeDocument/2006/relationships/hyperlink" Target="https://www.intc.com/filings-reports/all-sec-filings/content/0000050863-21-000010/0000050863-21-000010.pdf" TargetMode="External"/><Relationship Id="rId4" Type="http://schemas.openxmlformats.org/officeDocument/2006/relationships/hyperlink" Target="https://s2.q4cdn.com/470004039/files/doc_financials/2020/ar/_10-K-2020-(As-Filed).pdf" TargetMode="External"/><Relationship Id="rId9" Type="http://schemas.openxmlformats.org/officeDocument/2006/relationships/hyperlink" Target="https://www.sec.gov/Archives/edgar/data/789019/000156459017014900/msft-10k_20170630.htm" TargetMode="External"/><Relationship Id="rId14" Type="http://schemas.openxmlformats.org/officeDocument/2006/relationships/hyperlink" Target="https://www.sec.gov/Archives/edgar/data/789019/000156459022026876/msft-10k_20220630.htm" TargetMode="External"/><Relationship Id="rId22" Type="http://schemas.openxmlformats.org/officeDocument/2006/relationships/hyperlink" Target="https://abc.xyz/assets/43/44/675b83d7455885c4615d848d52a4/goog-10-k-2023.pdf" TargetMode="External"/><Relationship Id="rId27" Type="http://schemas.openxmlformats.org/officeDocument/2006/relationships/hyperlink" Target="https://www.annualreports.com/HostedData/AnnualReportArchive/f/NASDAQ_FB_2019.pdf" TargetMode="External"/><Relationship Id="rId30" Type="http://schemas.openxmlformats.org/officeDocument/2006/relationships/hyperlink" Target="https://www.intc.com/filings-reports/all-sec-filings/content/0000050863-20-000011/0000050863-20-000011.pdf" TargetMode="External"/><Relationship Id="rId8" Type="http://schemas.openxmlformats.org/officeDocument/2006/relationships/hyperlink" Target="https://s2.q4cdn.com/470004039/files/doc_earnings/2024/q4/filing/10-Q4-2024-As-Filed.pdf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orbes.com/sites/ronshevlin/2022/01/18/jpmorgan-chase-to-spend-12-billion-on-technologyand-why-other-banks-cant-keep-up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4"/>
  <sheetViews>
    <sheetView tabSelected="1" zoomScale="82" workbookViewId="0">
      <selection activeCell="E8" sqref="E8"/>
    </sheetView>
  </sheetViews>
  <sheetFormatPr defaultRowHeight="14.4" x14ac:dyDescent="0.3"/>
  <cols>
    <col min="1" max="1" width="8.88671875" style="30"/>
    <col min="2" max="5" width="9" style="30" bestFit="1" customWidth="1"/>
    <col min="6" max="6" width="13.44140625" style="30" bestFit="1" customWidth="1"/>
    <col min="7" max="7" width="17.33203125" style="30" customWidth="1"/>
    <col min="8" max="8" width="9" style="31" bestFit="1" customWidth="1"/>
    <col min="9" max="9" width="9" style="30" bestFit="1" customWidth="1"/>
    <col min="10" max="10" width="8.88671875" style="30"/>
    <col min="11" max="11" width="19.88671875" style="30" customWidth="1"/>
    <col min="12" max="14" width="8.88671875" style="30"/>
    <col min="15" max="15" width="8.88671875" style="30" customWidth="1"/>
    <col min="16" max="16384" width="8.88671875" style="30"/>
  </cols>
  <sheetData>
    <row r="1" spans="1:18" ht="15" thickBot="1" x14ac:dyDescent="0.35">
      <c r="A1" s="30" t="s">
        <v>89</v>
      </c>
      <c r="B1" s="30" t="s">
        <v>0</v>
      </c>
      <c r="C1" s="30" t="s">
        <v>1</v>
      </c>
      <c r="D1" s="30" t="s">
        <v>2</v>
      </c>
      <c r="E1" s="30" t="s">
        <v>3</v>
      </c>
      <c r="F1" s="30" t="s">
        <v>4</v>
      </c>
      <c r="G1" s="30" t="s">
        <v>5</v>
      </c>
      <c r="H1" s="31" t="s">
        <v>6</v>
      </c>
      <c r="I1" s="30" t="s">
        <v>7</v>
      </c>
      <c r="P1" s="32"/>
      <c r="R1" s="33"/>
    </row>
    <row r="2" spans="1:18" ht="15" thickBot="1" x14ac:dyDescent="0.35">
      <c r="A2" s="30" t="s">
        <v>13</v>
      </c>
      <c r="B2" s="30">
        <v>2024</v>
      </c>
      <c r="C2" s="34">
        <v>0.1033</v>
      </c>
      <c r="D2" s="34">
        <v>0.2374</v>
      </c>
      <c r="E2" s="30">
        <v>1.544837980406933E-2</v>
      </c>
      <c r="F2" s="35">
        <v>88544000000</v>
      </c>
      <c r="G2" s="35">
        <v>1.1427868062947719</v>
      </c>
      <c r="H2" s="36">
        <v>1.19</v>
      </c>
      <c r="I2" s="30">
        <v>3.1354942159291497</v>
      </c>
      <c r="K2" s="37"/>
    </row>
    <row r="3" spans="1:18" ht="15" thickBot="1" x14ac:dyDescent="0.35">
      <c r="B3" s="30">
        <v>2023</v>
      </c>
      <c r="C3" s="34">
        <v>6.2199999999999998E-2</v>
      </c>
      <c r="D3" s="34">
        <v>0.1719</v>
      </c>
      <c r="E3" s="30">
        <v>1.849237718802936E-2</v>
      </c>
      <c r="F3" s="35">
        <v>85622000000</v>
      </c>
      <c r="G3" s="35">
        <v>1.1562690064065475</v>
      </c>
      <c r="H3" s="36">
        <v>1.62</v>
      </c>
      <c r="I3" s="30">
        <v>3.1780538303479458</v>
      </c>
      <c r="K3" s="37"/>
    </row>
    <row r="4" spans="1:18" ht="15" thickBot="1" x14ac:dyDescent="0.35">
      <c r="B4" s="30">
        <v>2022</v>
      </c>
      <c r="C4" s="34">
        <v>-6.3E-3</v>
      </c>
      <c r="D4" s="34">
        <v>-1.9800000000000002E-2</v>
      </c>
      <c r="E4" s="30">
        <v>7.0974419636256102E-3</v>
      </c>
      <c r="F4" s="35">
        <v>73213000000</v>
      </c>
      <c r="G4" s="35">
        <v>1.1690321758870559</v>
      </c>
      <c r="H4" s="31">
        <v>2.17</v>
      </c>
      <c r="I4" s="30">
        <v>3.2188758248682006</v>
      </c>
      <c r="K4" s="37"/>
    </row>
    <row r="5" spans="1:18" ht="15" thickBot="1" x14ac:dyDescent="0.35">
      <c r="B5" s="30">
        <v>2021</v>
      </c>
      <c r="C5" s="34">
        <v>8.9800000000000005E-2</v>
      </c>
      <c r="D5" s="34">
        <v>0.27979999999999999</v>
      </c>
      <c r="E5" s="30">
        <v>4.2448979591836735E-3</v>
      </c>
      <c r="F5" s="35">
        <v>56052000000</v>
      </c>
      <c r="G5" s="35">
        <v>1.1811431408094568</v>
      </c>
      <c r="H5" s="31">
        <v>2.04</v>
      </c>
      <c r="I5" s="30">
        <v>3.2580965380214821</v>
      </c>
      <c r="K5" s="37"/>
    </row>
    <row r="6" spans="1:18" ht="15" thickBot="1" x14ac:dyDescent="0.35">
      <c r="B6" s="30">
        <v>2020</v>
      </c>
      <c r="C6" s="34">
        <v>7.8799999999999995E-2</v>
      </c>
      <c r="D6" s="34">
        <v>0.2707</v>
      </c>
      <c r="E6" s="30">
        <v>8.8794175102113303E-4</v>
      </c>
      <c r="F6" s="35">
        <v>4274000000</v>
      </c>
      <c r="G6" s="35">
        <v>1.1926601162848087</v>
      </c>
      <c r="H6" s="31">
        <v>2.44</v>
      </c>
      <c r="I6" s="30">
        <v>3.2958368660043291</v>
      </c>
      <c r="K6" s="37"/>
    </row>
    <row r="7" spans="1:18" ht="15" thickBot="1" x14ac:dyDescent="0.35">
      <c r="B7" s="30">
        <v>2019</v>
      </c>
      <c r="C7" s="34">
        <v>5.8400000000000001E-2</v>
      </c>
      <c r="D7" s="34">
        <v>0.2107</v>
      </c>
      <c r="E7" s="30">
        <v>1.9092066185829445E-3</v>
      </c>
      <c r="F7" s="35">
        <v>35931000000</v>
      </c>
      <c r="G7" s="35">
        <v>1.2036341000246709</v>
      </c>
      <c r="H7" s="31">
        <v>2.63</v>
      </c>
      <c r="I7" s="30">
        <v>3.3322045101752038</v>
      </c>
      <c r="K7" s="37"/>
    </row>
    <row r="8" spans="1:18" ht="15" thickBot="1" x14ac:dyDescent="0.35">
      <c r="B8" s="30">
        <v>2018</v>
      </c>
      <c r="C8" s="34">
        <v>7.1099999999999997E-2</v>
      </c>
      <c r="D8" s="34">
        <v>0.2702</v>
      </c>
      <c r="E8" s="30">
        <v>2.685546875E-3</v>
      </c>
      <c r="F8" s="35">
        <v>28837000000</v>
      </c>
      <c r="G8" s="35">
        <v>1.214109997913178</v>
      </c>
      <c r="H8" s="31">
        <v>2.74</v>
      </c>
      <c r="I8" s="30">
        <v>3.3672958299864741</v>
      </c>
      <c r="K8" s="37"/>
    </row>
    <row r="9" spans="1:18" ht="15" thickBot="1" x14ac:dyDescent="0.35">
      <c r="B9" s="30">
        <v>2017</v>
      </c>
      <c r="C9" s="34">
        <v>2.92E-2</v>
      </c>
      <c r="D9" s="34">
        <v>0.12470000000000001</v>
      </c>
      <c r="E9" s="30">
        <v>1.8634592580044046E-3</v>
      </c>
      <c r="F9" s="35">
        <v>2262000000</v>
      </c>
      <c r="G9" s="35">
        <v>1.2241275407015419</v>
      </c>
      <c r="H9" s="31">
        <v>3.74</v>
      </c>
      <c r="I9" s="30">
        <v>3.4011973816621555</v>
      </c>
      <c r="K9" s="37"/>
    </row>
    <row r="10" spans="1:18" ht="15" thickBot="1" x14ac:dyDescent="0.35">
      <c r="A10" s="30" t="s">
        <v>18</v>
      </c>
      <c r="B10" s="30">
        <v>2024</v>
      </c>
      <c r="C10" s="34">
        <v>7.9100000000000004E-2</v>
      </c>
      <c r="D10" s="34">
        <v>0.19869999999999999</v>
      </c>
      <c r="E10" s="30">
        <v>6.2849162011173187E-3</v>
      </c>
      <c r="F10" s="35">
        <v>17232000000</v>
      </c>
      <c r="G10" s="35">
        <v>1.5947817710037706</v>
      </c>
      <c r="H10" s="31">
        <v>1.52</v>
      </c>
      <c r="I10" s="30">
        <v>4.9272536851572051</v>
      </c>
      <c r="K10" s="37"/>
      <c r="R10" s="33"/>
    </row>
    <row r="11" spans="1:18" ht="15" thickBot="1" x14ac:dyDescent="0.35">
      <c r="B11" s="30">
        <v>2023</v>
      </c>
      <c r="C11" s="34">
        <v>0.19489999999999999</v>
      </c>
      <c r="D11" s="34">
        <v>0.48949999999999999</v>
      </c>
      <c r="E11" s="30">
        <v>4.5045045045045045E-3</v>
      </c>
      <c r="F11" s="35">
        <v>15085000000</v>
      </c>
      <c r="G11" s="35">
        <v>1.5933046536324995</v>
      </c>
      <c r="H11" s="31">
        <v>1.44</v>
      </c>
      <c r="I11" s="30">
        <v>4.9199809258281251</v>
      </c>
      <c r="K11" s="37"/>
    </row>
    <row r="12" spans="1:18" ht="15" thickBot="1" x14ac:dyDescent="0.35">
      <c r="B12" s="30">
        <v>2022</v>
      </c>
      <c r="C12" s="34">
        <v>9.9900000000000003E-2</v>
      </c>
      <c r="D12" s="34">
        <v>0.23730000000000001</v>
      </c>
      <c r="E12" s="30">
        <v>3.0983733539891559E-3</v>
      </c>
      <c r="F12" s="35">
        <v>14135000000</v>
      </c>
      <c r="G12" s="35">
        <v>1.5918145056013675</v>
      </c>
      <c r="H12" s="31">
        <v>1.44</v>
      </c>
      <c r="I12" s="30">
        <v>4.9126548857360524</v>
      </c>
      <c r="K12" s="37"/>
    </row>
    <row r="13" spans="1:18" ht="15" thickBot="1" x14ac:dyDescent="0.35">
      <c r="B13" s="30">
        <v>2021</v>
      </c>
      <c r="C13" s="34">
        <v>0.1176</v>
      </c>
      <c r="D13" s="34">
        <v>0.29859999999999998</v>
      </c>
      <c r="E13" s="30">
        <v>7.5471698113207543E-4</v>
      </c>
      <c r="F13" s="35">
        <v>14277000000</v>
      </c>
      <c r="G13" s="35">
        <v>1.5903111115172579</v>
      </c>
      <c r="H13" s="31">
        <v>1.46</v>
      </c>
      <c r="I13" s="30">
        <v>4.9052747784384296</v>
      </c>
      <c r="K13" s="37"/>
    </row>
    <row r="14" spans="1:18" ht="15" thickBot="1" x14ac:dyDescent="0.35">
      <c r="B14" s="30">
        <v>2020</v>
      </c>
      <c r="C14" s="34">
        <v>8.9300000000000004E-2</v>
      </c>
      <c r="D14" s="34">
        <v>0.23350000000000001</v>
      </c>
      <c r="E14" s="30">
        <v>1.0664770707429791E-3</v>
      </c>
      <c r="F14" s="35">
        <v>12159000000</v>
      </c>
      <c r="G14" s="35">
        <v>1.5887942507576207</v>
      </c>
      <c r="H14" s="31">
        <v>1.76</v>
      </c>
      <c r="I14" s="30">
        <v>4.8978397999509111</v>
      </c>
      <c r="K14" s="37"/>
    </row>
    <row r="15" spans="1:18" ht="15" thickBot="1" x14ac:dyDescent="0.35">
      <c r="B15" s="30">
        <v>2019</v>
      </c>
      <c r="C15" s="34">
        <v>9.7799999999999998E-2</v>
      </c>
      <c r="D15" s="34">
        <v>0.25469999999999998</v>
      </c>
      <c r="E15" s="30">
        <v>1.2084592145015106E-3</v>
      </c>
      <c r="F15" s="35">
        <v>11355000000</v>
      </c>
      <c r="G15" s="35">
        <v>1.5872636973025485</v>
      </c>
      <c r="H15" s="31">
        <v>1.65</v>
      </c>
      <c r="I15" s="30">
        <v>4.8903491282217537</v>
      </c>
      <c r="K15" s="37"/>
    </row>
    <row r="16" spans="1:18" ht="15" thickBot="1" x14ac:dyDescent="0.35">
      <c r="B16" s="30">
        <v>2018</v>
      </c>
      <c r="C16" s="34">
        <v>9.8599999999999993E-2</v>
      </c>
      <c r="D16" s="34">
        <v>0.2442</v>
      </c>
      <c r="E16" s="30">
        <v>4.6674445740956829E-4</v>
      </c>
      <c r="F16" s="35">
        <v>10775000000</v>
      </c>
      <c r="G16" s="35">
        <v>1.5857192195601266</v>
      </c>
      <c r="H16" s="31">
        <v>1.56</v>
      </c>
      <c r="I16" s="30">
        <v>4.8828019225863706</v>
      </c>
      <c r="K16" s="37"/>
    </row>
    <row r="17" spans="1:11" ht="15" thickBot="1" x14ac:dyDescent="0.35">
      <c r="B17" s="30">
        <v>2017</v>
      </c>
      <c r="C17" s="34">
        <v>8.5000000000000006E-3</v>
      </c>
      <c r="D17" s="34">
        <v>1.8800000000000001E-2</v>
      </c>
      <c r="E17" s="30">
        <v>0</v>
      </c>
      <c r="F17" s="35">
        <v>10594000000</v>
      </c>
      <c r="G17" s="35">
        <v>1.5841605801847392</v>
      </c>
      <c r="H17" s="31">
        <v>1.62</v>
      </c>
      <c r="I17" s="30">
        <v>4.8751973232011512</v>
      </c>
      <c r="K17" s="37"/>
    </row>
    <row r="18" spans="1:11" ht="15" thickBot="1" x14ac:dyDescent="0.35">
      <c r="A18" s="30" t="s">
        <v>19</v>
      </c>
      <c r="B18" s="30">
        <v>2024</v>
      </c>
      <c r="C18" s="34">
        <v>0.27910000000000001</v>
      </c>
      <c r="D18" s="34">
        <v>1.4535</v>
      </c>
      <c r="E18" s="30">
        <v>4.8823790501553487E-3</v>
      </c>
      <c r="F18" s="35">
        <v>3137000000</v>
      </c>
      <c r="G18" s="35">
        <v>1.3535647976324747</v>
      </c>
      <c r="H18" s="31">
        <v>4.1500000000000004</v>
      </c>
      <c r="I18" s="30">
        <v>3.8712010109078911</v>
      </c>
      <c r="K18" s="37"/>
    </row>
    <row r="19" spans="1:11" ht="15" thickBot="1" x14ac:dyDescent="0.35">
      <c r="B19" s="30">
        <v>2023</v>
      </c>
      <c r="C19" s="34">
        <v>0.29389999999999999</v>
      </c>
      <c r="D19" s="34">
        <v>1.5604</v>
      </c>
      <c r="E19" s="30">
        <v>2.3030861354214646E-3</v>
      </c>
      <c r="F19" s="35">
        <v>29915000000</v>
      </c>
      <c r="G19" s="35">
        <v>1.3481114856713152</v>
      </c>
      <c r="H19" s="31">
        <v>3.77</v>
      </c>
      <c r="I19" s="30">
        <v>3.8501476017100584</v>
      </c>
      <c r="K19" s="37"/>
    </row>
    <row r="20" spans="1:11" ht="15" thickBot="1" x14ac:dyDescent="0.35">
      <c r="B20" s="30">
        <v>2022</v>
      </c>
      <c r="C20" s="34">
        <v>0.27460000000000001</v>
      </c>
      <c r="D20" s="34">
        <v>1.6345000000000001</v>
      </c>
      <c r="E20" s="30">
        <v>3.7986704653371322E-3</v>
      </c>
      <c r="F20" s="35">
        <v>26251000000</v>
      </c>
      <c r="G20" s="35">
        <v>1.3425100134968837</v>
      </c>
      <c r="H20" s="31">
        <v>5.1100000000000003</v>
      </c>
      <c r="I20" s="30">
        <v>3.8286413964890951</v>
      </c>
      <c r="K20" s="37"/>
    </row>
    <row r="21" spans="1:11" ht="15" thickBot="1" x14ac:dyDescent="0.35">
      <c r="B21" s="30">
        <v>2021</v>
      </c>
      <c r="C21" s="34">
        <v>0.28749999999999998</v>
      </c>
      <c r="D21" s="34">
        <v>1.4981</v>
      </c>
      <c r="E21" s="30">
        <v>4.1400075272864136E-3</v>
      </c>
      <c r="F21" s="35">
        <v>21914000000</v>
      </c>
      <c r="G21" s="35">
        <v>1.3367528183009176</v>
      </c>
      <c r="H21" s="31">
        <v>4.3</v>
      </c>
      <c r="I21" s="30">
        <v>3.8066624897703196</v>
      </c>
      <c r="K21" s="37"/>
    </row>
    <row r="22" spans="1:11" ht="15" thickBot="1" x14ac:dyDescent="0.35">
      <c r="B22" s="30">
        <v>2020</v>
      </c>
      <c r="C22" s="34">
        <v>0.19439999999999999</v>
      </c>
      <c r="D22" s="34">
        <v>0.90590000000000004</v>
      </c>
      <c r="E22" s="30">
        <v>8.4889643463497452E-4</v>
      </c>
      <c r="F22" s="35">
        <v>18752000000</v>
      </c>
      <c r="G22" s="35">
        <v>1.3308317646057786</v>
      </c>
      <c r="H22" s="31">
        <v>4.3499999999999996</v>
      </c>
      <c r="I22" s="30">
        <v>3.784189633918261</v>
      </c>
      <c r="K22" s="37"/>
    </row>
    <row r="23" spans="1:11" ht="15" thickBot="1" x14ac:dyDescent="0.35">
      <c r="B23" s="30">
        <v>2019</v>
      </c>
      <c r="C23" s="34">
        <v>0.17130000000000001</v>
      </c>
      <c r="D23" s="34">
        <v>0.6018</v>
      </c>
      <c r="E23" s="30">
        <v>4.3478260869565218E-3</v>
      </c>
      <c r="F23" s="35">
        <v>16217000000</v>
      </c>
      <c r="G23" s="35">
        <v>1.3247380861805318</v>
      </c>
      <c r="H23" s="31">
        <v>2.8</v>
      </c>
      <c r="I23" s="30">
        <v>3.7612001156935624</v>
      </c>
      <c r="K23" s="37"/>
    </row>
    <row r="24" spans="1:11" ht="15" thickBot="1" x14ac:dyDescent="0.35">
      <c r="B24" s="30">
        <v>2018</v>
      </c>
      <c r="C24" s="34">
        <v>0.1633</v>
      </c>
      <c r="D24" s="34">
        <v>0.50919999999999999</v>
      </c>
      <c r="E24" s="30">
        <v>1.6042780748663102E-3</v>
      </c>
      <c r="F24" s="35">
        <v>14236000000</v>
      </c>
      <c r="G24" s="35">
        <v>1.3184623205053285</v>
      </c>
      <c r="H24" s="31">
        <v>2.17</v>
      </c>
      <c r="I24" s="30">
        <v>3.7376696182833684</v>
      </c>
      <c r="K24" s="37"/>
    </row>
    <row r="25" spans="1:11" ht="15" thickBot="1" x14ac:dyDescent="0.35">
      <c r="B25" s="30">
        <v>2017</v>
      </c>
      <c r="C25" s="34">
        <v>0.13830000000000001</v>
      </c>
      <c r="D25" s="34">
        <v>0.37369999999999998</v>
      </c>
      <c r="E25" s="30">
        <v>1.6625103906899418E-3</v>
      </c>
      <c r="F25" s="35">
        <v>11581000000</v>
      </c>
      <c r="G25" s="35">
        <v>1.3119942346184028</v>
      </c>
      <c r="H25" s="31">
        <v>1.9</v>
      </c>
      <c r="I25" s="30">
        <v>3.713572066704308</v>
      </c>
      <c r="K25" s="37"/>
    </row>
    <row r="26" spans="1:11" ht="15" thickBot="1" x14ac:dyDescent="0.35">
      <c r="A26" s="30" t="s">
        <v>20</v>
      </c>
      <c r="B26" s="30">
        <v>2024</v>
      </c>
      <c r="C26" s="34">
        <v>0.1807</v>
      </c>
      <c r="D26" s="34">
        <v>0.33360000000000001</v>
      </c>
      <c r="E26" s="30">
        <v>3.7900056148231329E-3</v>
      </c>
      <c r="F26" s="35">
        <v>2951000000</v>
      </c>
      <c r="G26" s="35">
        <v>1.3588769911382217</v>
      </c>
      <c r="H26" s="39" t="s">
        <v>182</v>
      </c>
      <c r="I26" s="30">
        <v>3.8918202981106265</v>
      </c>
      <c r="K26" s="37"/>
    </row>
    <row r="27" spans="1:11" ht="15" thickBot="1" x14ac:dyDescent="0.35">
      <c r="B27" s="30">
        <v>2023</v>
      </c>
      <c r="C27" s="34">
        <v>0.1933</v>
      </c>
      <c r="D27" s="34">
        <v>0.38400000000000001</v>
      </c>
      <c r="E27" s="30">
        <v>4.4660194174757284E-3</v>
      </c>
      <c r="F27" s="35">
        <v>27195000000</v>
      </c>
      <c r="G27" s="35">
        <v>1.3535647976324747</v>
      </c>
      <c r="H27" s="39" t="s">
        <v>183</v>
      </c>
      <c r="I27" s="30">
        <v>3.8712010109078911</v>
      </c>
      <c r="K27" s="37"/>
    </row>
    <row r="28" spans="1:11" ht="15" thickBot="1" x14ac:dyDescent="0.35">
      <c r="B28" s="30">
        <v>2022</v>
      </c>
      <c r="C28" s="34">
        <v>0.18820000000000001</v>
      </c>
      <c r="D28" s="34">
        <v>0.39319999999999999</v>
      </c>
      <c r="E28" s="30">
        <v>3.3233632436025259E-3</v>
      </c>
      <c r="F28" s="35">
        <v>24512000000</v>
      </c>
      <c r="G28" s="35">
        <v>1.3481114856713152</v>
      </c>
      <c r="H28" s="39" t="s">
        <v>184</v>
      </c>
      <c r="I28" s="30">
        <v>3.8501476017100584</v>
      </c>
      <c r="K28" s="37"/>
    </row>
    <row r="29" spans="1:11" ht="15" thickBot="1" x14ac:dyDescent="0.35">
      <c r="B29" s="30">
        <v>2021</v>
      </c>
      <c r="C29" s="34">
        <v>0.216</v>
      </c>
      <c r="D29" s="34">
        <v>0.4839</v>
      </c>
      <c r="E29" s="30">
        <v>2.7700831024930748E-3</v>
      </c>
      <c r="F29" s="35">
        <v>20716000000</v>
      </c>
      <c r="G29" s="35">
        <v>1.3425100134968837</v>
      </c>
      <c r="H29" s="39">
        <v>1.1299999999999999</v>
      </c>
      <c r="I29" s="30">
        <v>3.8286413964890951</v>
      </c>
      <c r="K29" s="37"/>
    </row>
    <row r="30" spans="1:11" ht="15" thickBot="1" x14ac:dyDescent="0.35">
      <c r="B30" s="30">
        <v>2020</v>
      </c>
      <c r="C30" s="34">
        <v>0.17219999999999999</v>
      </c>
      <c r="D30" s="34">
        <v>0.4219</v>
      </c>
      <c r="E30" s="30">
        <v>2.8464419475655429E-3</v>
      </c>
      <c r="F30" s="35">
        <v>19269000000</v>
      </c>
      <c r="G30" s="35">
        <v>1.3367528183009176</v>
      </c>
      <c r="H30" s="39">
        <v>1.34</v>
      </c>
      <c r="I30" s="30">
        <v>3.8066624897703196</v>
      </c>
      <c r="K30" s="37"/>
    </row>
    <row r="31" spans="1:11" ht="15" thickBot="1" x14ac:dyDescent="0.35">
      <c r="B31" s="30">
        <v>2019</v>
      </c>
      <c r="C31" s="34">
        <v>0.1595</v>
      </c>
      <c r="D31" s="34">
        <v>0.4289</v>
      </c>
      <c r="E31" s="30">
        <v>2.6647717178895007E-3</v>
      </c>
      <c r="F31" s="35">
        <v>16876000000</v>
      </c>
      <c r="G31" s="35">
        <v>1.3308317646057786</v>
      </c>
      <c r="H31" s="35">
        <v>1.57</v>
      </c>
      <c r="I31" s="30">
        <v>3.784189633918261</v>
      </c>
      <c r="K31" s="37"/>
    </row>
    <row r="32" spans="1:11" ht="15" thickBot="1" x14ac:dyDescent="0.35">
      <c r="B32" s="30">
        <v>2018</v>
      </c>
      <c r="C32" s="34">
        <v>0.13139999999999999</v>
      </c>
      <c r="D32" s="34">
        <v>0.39450000000000002</v>
      </c>
      <c r="E32" s="30">
        <v>1.6577638607478357E-3</v>
      </c>
      <c r="F32" s="35">
        <v>14726000000</v>
      </c>
      <c r="G32" s="35">
        <v>1.3247380861805318</v>
      </c>
      <c r="H32" s="35">
        <v>1.81</v>
      </c>
      <c r="I32" s="30">
        <v>3.7612001156935624</v>
      </c>
      <c r="K32" s="37"/>
    </row>
    <row r="33" spans="1:11" ht="15" thickBot="1" x14ac:dyDescent="0.35">
      <c r="B33" s="30">
        <v>2017</v>
      </c>
      <c r="C33" s="34">
        <v>5.6399999999999999E-2</v>
      </c>
      <c r="D33" s="34">
        <v>0.17</v>
      </c>
      <c r="E33" s="30">
        <v>1.2127512127512127E-3</v>
      </c>
      <c r="F33" s="35">
        <v>13037000000</v>
      </c>
      <c r="G33" s="35">
        <v>1.3184623205053285</v>
      </c>
      <c r="H33" s="35">
        <v>2.27</v>
      </c>
      <c r="I33" s="30">
        <v>3.7376696182833684</v>
      </c>
      <c r="K33" s="37"/>
    </row>
    <row r="34" spans="1:11" ht="15" thickBot="1" x14ac:dyDescent="0.35">
      <c r="A34" s="30" t="s">
        <v>21</v>
      </c>
      <c r="B34" s="30">
        <v>2024</v>
      </c>
      <c r="C34" s="34">
        <v>0.23519999999999999</v>
      </c>
      <c r="D34" s="34">
        <v>0.32479999999999998</v>
      </c>
      <c r="E34" s="30">
        <v>1.079734219269103E-2</v>
      </c>
      <c r="F34" s="35">
        <v>49326000000</v>
      </c>
      <c r="G34" s="35">
        <v>1.1811431408094568</v>
      </c>
      <c r="H34" s="40">
        <v>0.39</v>
      </c>
      <c r="I34" s="30">
        <v>3.2580965380214821</v>
      </c>
      <c r="K34" s="37"/>
    </row>
    <row r="35" spans="1:11" ht="15" thickBot="1" x14ac:dyDescent="0.35">
      <c r="B35" s="30">
        <v>2023</v>
      </c>
      <c r="C35" s="34">
        <v>0.19020000000000001</v>
      </c>
      <c r="D35" s="34">
        <v>0.2722</v>
      </c>
      <c r="E35" s="30">
        <v>7.0850202429149798E-3</v>
      </c>
      <c r="F35" s="35">
        <v>45427000000</v>
      </c>
      <c r="G35" s="35">
        <v>1.1690321758870559</v>
      </c>
      <c r="H35" s="40">
        <v>0.42</v>
      </c>
      <c r="I35" s="30">
        <v>3.2188758248682006</v>
      </c>
      <c r="K35" s="37"/>
    </row>
    <row r="36" spans="1:11" ht="15" thickBot="1" x14ac:dyDescent="0.35">
      <c r="B36" s="30">
        <v>2022</v>
      </c>
      <c r="C36" s="34">
        <v>0.1671</v>
      </c>
      <c r="D36" s="34">
        <v>0.2354</v>
      </c>
      <c r="E36" s="30">
        <v>4.1858518208455417E-3</v>
      </c>
      <c r="F36" s="35">
        <v>395000000</v>
      </c>
      <c r="G36" s="35">
        <v>1.1562690064065475</v>
      </c>
      <c r="H36" s="40">
        <v>0.43</v>
      </c>
      <c r="I36" s="30">
        <v>3.1780538303479458</v>
      </c>
      <c r="K36" s="37"/>
    </row>
    <row r="37" spans="1:11" ht="15" thickBot="1" x14ac:dyDescent="0.35">
      <c r="B37" s="30">
        <v>2021</v>
      </c>
      <c r="C37" s="38">
        <v>22.21</v>
      </c>
      <c r="D37" s="38">
        <v>31.56</v>
      </c>
      <c r="E37" s="30">
        <v>4.7787242883856225E-3</v>
      </c>
      <c r="F37" s="35">
        <v>31562000000</v>
      </c>
      <c r="G37" s="35">
        <v>1.1427868062947719</v>
      </c>
      <c r="H37" s="40">
        <v>0.43</v>
      </c>
      <c r="I37" s="30">
        <v>3.1354942159291497</v>
      </c>
      <c r="K37" s="37"/>
    </row>
    <row r="38" spans="1:11" ht="15" thickBot="1" x14ac:dyDescent="0.35">
      <c r="B38" s="30">
        <v>2020</v>
      </c>
      <c r="C38" s="34">
        <v>0.1376</v>
      </c>
      <c r="D38" s="34">
        <v>0.1903</v>
      </c>
      <c r="E38" s="30">
        <v>3.4168564920273349E-3</v>
      </c>
      <c r="F38" s="35">
        <v>27573000000</v>
      </c>
      <c r="G38" s="35">
        <v>1.1285083975617491</v>
      </c>
      <c r="H38" s="40">
        <v>0.44</v>
      </c>
      <c r="I38" s="30">
        <v>3.0910424533583161</v>
      </c>
      <c r="K38" s="37"/>
    </row>
    <row r="39" spans="1:11" ht="15" thickBot="1" x14ac:dyDescent="0.35">
      <c r="B39" s="30">
        <v>2019</v>
      </c>
      <c r="C39" s="34">
        <v>0.13189999999999999</v>
      </c>
      <c r="D39" s="34">
        <v>0.1779</v>
      </c>
      <c r="E39" s="30">
        <v>2.4245095878333701E-3</v>
      </c>
      <c r="F39" s="35">
        <v>26018000000</v>
      </c>
      <c r="G39" s="35">
        <v>1.1133440539599853</v>
      </c>
      <c r="H39" s="40">
        <v>0.37</v>
      </c>
      <c r="I39" s="30">
        <v>3.044522437723423</v>
      </c>
      <c r="K39" s="37"/>
    </row>
    <row r="40" spans="1:11" ht="15" thickBot="1" x14ac:dyDescent="0.35">
      <c r="B40" s="30">
        <v>2018</v>
      </c>
      <c r="C40" s="34">
        <v>0.14080000000000001</v>
      </c>
      <c r="D40" s="34">
        <v>0.18340000000000001</v>
      </c>
      <c r="E40" s="30">
        <v>2.2417336073229962E-3</v>
      </c>
      <c r="F40" s="35">
        <v>21419000000</v>
      </c>
      <c r="G40" s="35">
        <v>1.0971887003649488</v>
      </c>
      <c r="H40" s="40">
        <v>0.31</v>
      </c>
      <c r="I40" s="30">
        <v>2.9957322735539909</v>
      </c>
      <c r="K40" s="37"/>
    </row>
    <row r="41" spans="1:11" ht="15" thickBot="1" x14ac:dyDescent="0.35">
      <c r="B41" s="30">
        <v>2017</v>
      </c>
      <c r="C41" s="34">
        <v>6.8599999999999994E-2</v>
      </c>
      <c r="D41" s="34">
        <v>8.4000000000000005E-2</v>
      </c>
      <c r="E41" s="30">
        <v>1.7532674529805547E-3</v>
      </c>
      <c r="F41" s="35">
        <v>16625000000</v>
      </c>
      <c r="G41" s="35">
        <v>1.0799182995220822</v>
      </c>
      <c r="H41" s="40">
        <v>0.28999999999999998</v>
      </c>
      <c r="I41" s="30">
        <v>2.9444389791664403</v>
      </c>
      <c r="K41" s="37"/>
    </row>
    <row r="42" spans="1:11" ht="15" thickBot="1" x14ac:dyDescent="0.35">
      <c r="A42" s="30" t="s">
        <v>22</v>
      </c>
      <c r="B42" s="30">
        <v>2024</v>
      </c>
      <c r="C42" s="34">
        <v>0.25309999999999999</v>
      </c>
      <c r="D42" s="34">
        <v>0.38169999999999998</v>
      </c>
      <c r="E42" s="30">
        <v>2.3752969121140144E-3</v>
      </c>
      <c r="F42" s="30">
        <v>43873000000</v>
      </c>
      <c r="G42" s="30">
        <v>1.0971887003649488</v>
      </c>
      <c r="H42" s="39" t="s">
        <v>232</v>
      </c>
      <c r="I42" s="30">
        <v>2.9957322735539909</v>
      </c>
      <c r="K42" s="37"/>
    </row>
    <row r="43" spans="1:11" ht="15" thickBot="1" x14ac:dyDescent="0.35">
      <c r="B43" s="30">
        <v>2023</v>
      </c>
      <c r="C43" s="34">
        <v>0.18679999999999999</v>
      </c>
      <c r="D43" s="34">
        <v>0.28189999999999998</v>
      </c>
      <c r="E43" s="30">
        <v>1.7096939647803042E-3</v>
      </c>
      <c r="F43" s="30">
        <v>38483000000</v>
      </c>
      <c r="G43" s="30">
        <v>1.0799182995220822</v>
      </c>
      <c r="H43" s="38" t="s">
        <v>233</v>
      </c>
      <c r="I43" s="30">
        <v>2.9444389791664403</v>
      </c>
      <c r="K43" s="37"/>
    </row>
    <row r="44" spans="1:11" ht="15" thickBot="1" x14ac:dyDescent="0.35">
      <c r="B44" s="30">
        <v>2022</v>
      </c>
      <c r="C44" s="34">
        <v>0.1328</v>
      </c>
      <c r="D44" s="34">
        <v>0.186</v>
      </c>
      <c r="E44" s="30">
        <v>2.0746887966804979E-3</v>
      </c>
      <c r="F44" s="30">
        <v>35338000000</v>
      </c>
      <c r="G44" s="30">
        <v>1.0613851298016763</v>
      </c>
      <c r="H44" s="38" t="s">
        <v>234</v>
      </c>
      <c r="I44" s="30">
        <v>2.8903717578961645</v>
      </c>
      <c r="K44" s="37"/>
    </row>
    <row r="45" spans="1:11" ht="15" thickBot="1" x14ac:dyDescent="0.35">
      <c r="B45" s="30">
        <v>2021</v>
      </c>
      <c r="C45" s="34">
        <v>0.2351</v>
      </c>
      <c r="D45" s="34">
        <v>0.29709999999999998</v>
      </c>
      <c r="E45" s="30">
        <v>1.8122508155128669E-3</v>
      </c>
      <c r="F45" s="30">
        <v>24655000000</v>
      </c>
      <c r="G45" s="30">
        <v>1.0414115247747806</v>
      </c>
      <c r="H45" s="38" t="s">
        <v>235</v>
      </c>
      <c r="I45" s="30">
        <v>2.8332133440562162</v>
      </c>
      <c r="K45" s="37"/>
    </row>
    <row r="46" spans="1:11" ht="15" thickBot="1" x14ac:dyDescent="0.35">
      <c r="B46" s="30">
        <v>2020</v>
      </c>
      <c r="C46" s="34">
        <v>0.19969999999999999</v>
      </c>
      <c r="D46" s="34">
        <v>0.2525</v>
      </c>
      <c r="E46" s="30">
        <v>2.4610336341263331E-3</v>
      </c>
      <c r="F46" s="30">
        <v>18447000000</v>
      </c>
      <c r="G46" s="30">
        <v>1.0197814405382262</v>
      </c>
      <c r="H46" s="38" t="s">
        <v>236</v>
      </c>
      <c r="I46" s="30">
        <v>2.7725887222397811</v>
      </c>
      <c r="K46" s="37"/>
    </row>
    <row r="47" spans="1:11" ht="15" thickBot="1" x14ac:dyDescent="0.35">
      <c r="B47" s="30">
        <v>2019</v>
      </c>
      <c r="C47" s="34">
        <v>0.1527</v>
      </c>
      <c r="D47" s="34">
        <v>0.19969999999999999</v>
      </c>
      <c r="E47" s="30">
        <v>1.961938395134393E-3</v>
      </c>
      <c r="F47" s="30">
        <v>136000000</v>
      </c>
      <c r="G47" s="30">
        <v>0.99622889295139483</v>
      </c>
      <c r="H47" s="38" t="s">
        <v>237</v>
      </c>
      <c r="I47" s="30">
        <v>2.7080502011022101</v>
      </c>
      <c r="K47" s="37"/>
    </row>
    <row r="48" spans="1:11" ht="15" thickBot="1" x14ac:dyDescent="0.35">
      <c r="B48" s="30">
        <v>2018</v>
      </c>
      <c r="C48" s="34">
        <v>0.2397</v>
      </c>
      <c r="D48" s="34">
        <v>0.27510000000000001</v>
      </c>
      <c r="E48" s="30">
        <v>1.4011208967173738E-3</v>
      </c>
      <c r="F48" s="30">
        <v>10273000000</v>
      </c>
      <c r="G48" s="30">
        <v>0.97042178127736489</v>
      </c>
      <c r="H48" s="38" t="s">
        <v>238</v>
      </c>
      <c r="I48" s="30">
        <v>2.6390573296152584</v>
      </c>
      <c r="K48" s="37"/>
    </row>
    <row r="49" spans="1:11" ht="15" thickBot="1" x14ac:dyDescent="0.35">
      <c r="B49" s="30">
        <v>2017</v>
      </c>
      <c r="C49" s="34">
        <v>0.20810000000000001</v>
      </c>
      <c r="D49" s="34">
        <v>0.23219999999999999</v>
      </c>
      <c r="E49" s="30">
        <v>8.6670133472005549E-4</v>
      </c>
      <c r="F49" s="30">
        <v>7754000000</v>
      </c>
      <c r="G49" s="30">
        <v>0.94193873474811107</v>
      </c>
      <c r="H49" s="38" t="s">
        <v>239</v>
      </c>
      <c r="I49" s="30">
        <v>2.5649493574615367</v>
      </c>
      <c r="K49" s="37"/>
    </row>
    <row r="50" spans="1:11" ht="15" thickBot="1" x14ac:dyDescent="0.35">
      <c r="A50" s="30" t="s">
        <v>23</v>
      </c>
      <c r="B50" s="30">
        <v>2024</v>
      </c>
      <c r="C50" s="34">
        <v>-9.5100000000000004E-2</v>
      </c>
      <c r="D50" s="34">
        <v>-0.1701</v>
      </c>
      <c r="E50" s="30">
        <v>6.5079955373744886E-3</v>
      </c>
      <c r="F50" s="30">
        <v>16546000000</v>
      </c>
      <c r="G50" s="30">
        <v>1.3881259789913998</v>
      </c>
      <c r="H50" s="38" t="s">
        <v>240</v>
      </c>
      <c r="I50" s="30">
        <v>4.0073331852324712</v>
      </c>
      <c r="K50" s="37"/>
    </row>
    <row r="51" spans="1:11" ht="15" thickBot="1" x14ac:dyDescent="0.35">
      <c r="B51" s="30">
        <v>2023</v>
      </c>
      <c r="C51" s="34">
        <v>8.9999999999999993E-3</v>
      </c>
      <c r="D51" s="34">
        <v>1.61E-2</v>
      </c>
      <c r="E51" s="30">
        <v>6.1138708444784104E-3</v>
      </c>
      <c r="F51" s="30">
        <v>16546000000</v>
      </c>
      <c r="G51" s="30">
        <v>1.3835365735581087</v>
      </c>
      <c r="H51" s="38" t="s">
        <v>241</v>
      </c>
      <c r="I51" s="30">
        <v>3.9889840465642745</v>
      </c>
      <c r="K51" s="37"/>
    </row>
    <row r="52" spans="1:11" ht="15" thickBot="1" x14ac:dyDescent="0.35">
      <c r="B52" s="30">
        <v>2022</v>
      </c>
      <c r="C52" s="34">
        <v>4.5600000000000002E-2</v>
      </c>
      <c r="D52" s="34">
        <v>7.8700000000000006E-2</v>
      </c>
      <c r="E52" s="30">
        <v>5.2939028842643298E-3</v>
      </c>
      <c r="F52" s="30">
        <v>16046000000</v>
      </c>
      <c r="G52" s="30">
        <v>1.3788396218579066</v>
      </c>
      <c r="H52" s="38" t="s">
        <v>182</v>
      </c>
      <c r="I52" s="30">
        <v>3.970291913552122</v>
      </c>
      <c r="K52" s="37"/>
    </row>
    <row r="53" spans="1:11" ht="15" thickBot="1" x14ac:dyDescent="0.35">
      <c r="B53" s="30">
        <v>2021</v>
      </c>
      <c r="C53" s="34">
        <v>0.1239</v>
      </c>
      <c r="D53" s="34">
        <v>0.22670000000000001</v>
      </c>
      <c r="E53" s="30">
        <v>6.3278220044907128E-3</v>
      </c>
      <c r="F53" s="30">
        <v>17528000000</v>
      </c>
      <c r="G53" s="30">
        <v>1.3740303948169557</v>
      </c>
      <c r="H53" s="38" t="s">
        <v>242</v>
      </c>
      <c r="I53" s="30">
        <v>3.9512437185814275</v>
      </c>
      <c r="K53" s="37"/>
    </row>
    <row r="54" spans="1:11" ht="15" thickBot="1" x14ac:dyDescent="0.35">
      <c r="B54" s="30">
        <v>2020</v>
      </c>
      <c r="C54" s="34">
        <v>0.13969999999999999</v>
      </c>
      <c r="D54" s="34">
        <v>0.26629999999999998</v>
      </c>
      <c r="E54" s="30">
        <v>8.4621044885945552E-3</v>
      </c>
      <c r="F54" s="30">
        <v>1519000000</v>
      </c>
      <c r="G54" s="30">
        <v>1.3691038556058743</v>
      </c>
      <c r="H54" s="38" t="s">
        <v>243</v>
      </c>
      <c r="I54" s="30">
        <v>3.9318256327243257</v>
      </c>
      <c r="K54" s="37"/>
    </row>
    <row r="55" spans="1:11" ht="15" thickBot="1" x14ac:dyDescent="0.35">
      <c r="B55" s="30">
        <v>2019</v>
      </c>
      <c r="C55" s="34">
        <v>0.15870000000000001</v>
      </c>
      <c r="D55" s="34">
        <v>0.28029999999999999</v>
      </c>
      <c r="E55" s="30">
        <v>5.9119772279395662E-3</v>
      </c>
      <c r="F55" s="30">
        <v>13556000000</v>
      </c>
      <c r="G55" s="30">
        <v>1.3640546328884455</v>
      </c>
      <c r="H55" s="38" t="s">
        <v>182</v>
      </c>
      <c r="I55" s="30">
        <v>3.912023005428146</v>
      </c>
      <c r="K55" s="37"/>
    </row>
    <row r="56" spans="1:11" ht="15" thickBot="1" x14ac:dyDescent="0.35">
      <c r="B56" s="30">
        <v>2018</v>
      </c>
      <c r="C56" s="34">
        <v>0.16489999999999999</v>
      </c>
      <c r="D56" s="34">
        <v>0.29420000000000002</v>
      </c>
      <c r="E56" s="30">
        <v>4.413472706155633E-3</v>
      </c>
      <c r="F56" s="30">
        <v>13362000000</v>
      </c>
      <c r="G56" s="30">
        <v>1.3588769911382217</v>
      </c>
      <c r="H56" s="38" t="s">
        <v>244</v>
      </c>
      <c r="I56" s="30">
        <v>3.8918202981106265</v>
      </c>
      <c r="K56" s="37"/>
    </row>
    <row r="57" spans="1:11" ht="15" thickBot="1" x14ac:dyDescent="0.35">
      <c r="B57" s="30">
        <v>2017</v>
      </c>
      <c r="C57" s="34">
        <v>7.8700000000000006E-2</v>
      </c>
      <c r="D57" s="34">
        <v>0.1394</v>
      </c>
      <c r="E57" s="30">
        <v>3.3357159876101976E-3</v>
      </c>
      <c r="F57" s="30">
        <v>13543000000</v>
      </c>
      <c r="G57" s="30">
        <v>1.3535647976324747</v>
      </c>
      <c r="H57" s="38" t="s">
        <v>245</v>
      </c>
      <c r="I57" s="30">
        <v>3.8712010109078911</v>
      </c>
      <c r="K57" s="37"/>
    </row>
    <row r="58" spans="1:11" ht="15" thickBot="1" x14ac:dyDescent="0.35">
      <c r="A58" s="30" t="s">
        <v>25</v>
      </c>
      <c r="B58" s="30">
        <v>2024</v>
      </c>
      <c r="C58" s="34">
        <v>9.74E-2</v>
      </c>
      <c r="D58" s="34">
        <v>0.35310000000000002</v>
      </c>
      <c r="E58" s="30">
        <v>1.4774166314900801E-3</v>
      </c>
      <c r="F58" s="30">
        <v>1479000000</v>
      </c>
      <c r="G58" s="30">
        <v>1.2036341000246709</v>
      </c>
      <c r="H58" s="38">
        <v>2.75</v>
      </c>
      <c r="I58" s="30">
        <v>3.3322045101752038</v>
      </c>
      <c r="K58" s="37"/>
    </row>
    <row r="59" spans="1:11" ht="15" thickBot="1" x14ac:dyDescent="0.35">
      <c r="A59" s="30" t="s">
        <v>277</v>
      </c>
      <c r="B59" s="30">
        <v>2023</v>
      </c>
      <c r="C59" s="34">
        <v>0.13370000000000001</v>
      </c>
      <c r="D59" s="34">
        <v>0.48230000000000001</v>
      </c>
      <c r="E59" s="30">
        <v>1.289213579716373E-3</v>
      </c>
      <c r="F59" s="30">
        <v>1479000000</v>
      </c>
      <c r="G59" s="30">
        <v>1.2036341000246709</v>
      </c>
      <c r="H59" s="38">
        <v>2.38</v>
      </c>
      <c r="I59" s="30">
        <v>3.3322045101752038</v>
      </c>
      <c r="K59" s="37"/>
    </row>
    <row r="60" spans="1:11" ht="15" thickBot="1" x14ac:dyDescent="0.35">
      <c r="B60" s="30">
        <v>2022</v>
      </c>
      <c r="C60" s="34">
        <v>-6.1499999999999999E-2</v>
      </c>
      <c r="D60" s="34">
        <v>-0.2276</v>
      </c>
      <c r="E60" s="30">
        <v>8.9485458612975394E-4</v>
      </c>
      <c r="F60" s="30">
        <v>1544000000</v>
      </c>
      <c r="G60" s="30">
        <v>1.2036341000246709</v>
      </c>
      <c r="H60" s="38">
        <v>3.05</v>
      </c>
      <c r="I60" s="30">
        <v>3.3322045101752038</v>
      </c>
      <c r="K60" s="37"/>
    </row>
    <row r="61" spans="1:11" ht="15" thickBot="1" x14ac:dyDescent="0.35">
      <c r="B61" s="30">
        <v>2021</v>
      </c>
      <c r="C61" s="34">
        <v>0.51139999999999997</v>
      </c>
      <c r="D61" s="34">
        <v>1.4512</v>
      </c>
      <c r="E61" s="30">
        <v>6.6371681415929203E-4</v>
      </c>
      <c r="F61" s="30">
        <v>133000000</v>
      </c>
      <c r="G61" s="30">
        <v>1.2036341000246709</v>
      </c>
      <c r="H61" s="38">
        <v>1.72</v>
      </c>
      <c r="I61" s="30">
        <v>3.3322045101752038</v>
      </c>
      <c r="K61" s="37"/>
    </row>
    <row r="62" spans="1:11" ht="15" thickBot="1" x14ac:dyDescent="0.35">
      <c r="B62" s="30">
        <v>2020</v>
      </c>
      <c r="C62" s="34">
        <v>0.29559999999999997</v>
      </c>
      <c r="D62" s="34">
        <v>1.9715</v>
      </c>
      <c r="E62" s="30">
        <v>4.2735042735042735E-4</v>
      </c>
      <c r="F62" s="30">
        <v>1325000000</v>
      </c>
      <c r="G62" s="30">
        <v>1.2036341000246709</v>
      </c>
      <c r="H62" s="38">
        <v>4.42</v>
      </c>
      <c r="I62" s="30">
        <v>3.3322045101752038</v>
      </c>
      <c r="K62" s="37"/>
    </row>
    <row r="63" spans="1:11" ht="15" thickBot="1" x14ac:dyDescent="0.35">
      <c r="B63" s="30">
        <v>2019</v>
      </c>
      <c r="C63" s="34">
        <v>8.8900000000000007E-2</v>
      </c>
      <c r="D63" s="34">
        <v>0.46239999999999998</v>
      </c>
      <c r="E63" s="30">
        <v>4.2052144659377626E-4</v>
      </c>
      <c r="F63" s="30">
        <v>1028000000</v>
      </c>
      <c r="G63" s="30">
        <v>1.2036341000246709</v>
      </c>
      <c r="H63" s="38">
        <v>5.33</v>
      </c>
      <c r="I63" s="30">
        <v>3.3322045101752038</v>
      </c>
      <c r="K63" s="37"/>
    </row>
    <row r="64" spans="1:11" ht="15" thickBot="1" x14ac:dyDescent="0.35">
      <c r="B64" s="30">
        <v>2018</v>
      </c>
      <c r="C64" s="34">
        <v>0.1065</v>
      </c>
      <c r="D64" s="34">
        <v>0.36199999999999999</v>
      </c>
      <c r="E64" s="30">
        <v>5.6625141562853911E-4</v>
      </c>
      <c r="F64" s="30">
        <v>930000000</v>
      </c>
      <c r="G64" s="30">
        <v>1.2036341000246709</v>
      </c>
      <c r="H64" s="38">
        <v>2.63</v>
      </c>
      <c r="I64" s="30">
        <v>3.3322045101752038</v>
      </c>
      <c r="K64" s="37"/>
    </row>
    <row r="65" spans="1:11" ht="15" thickBot="1" x14ac:dyDescent="0.35">
      <c r="B65" s="30">
        <v>2017</v>
      </c>
      <c r="C65" s="34">
        <v>-3.9E-2</v>
      </c>
      <c r="D65" s="34">
        <v>-9.5899999999999999E-2</v>
      </c>
      <c r="E65" s="30">
        <v>0</v>
      </c>
      <c r="F65" s="30">
        <v>1051000000</v>
      </c>
      <c r="G65" s="30">
        <v>1.2036341000246709</v>
      </c>
      <c r="H65" s="38">
        <v>2.23</v>
      </c>
      <c r="I65" s="30">
        <v>3.3322045101752038</v>
      </c>
      <c r="K65" s="37"/>
    </row>
    <row r="66" spans="1:11" ht="15" thickBot="1" x14ac:dyDescent="0.35">
      <c r="A66" s="30" t="s">
        <v>26</v>
      </c>
      <c r="B66" s="30">
        <v>2024</v>
      </c>
      <c r="C66" s="34">
        <v>0.1658</v>
      </c>
      <c r="D66" s="34">
        <v>0.20319999999999999</v>
      </c>
      <c r="E66" s="30">
        <v>1.8832391713747645E-3</v>
      </c>
      <c r="F66" s="30">
        <v>1367000000</v>
      </c>
      <c r="G66" s="30">
        <v>1.0613851298016763</v>
      </c>
      <c r="H66" s="38">
        <v>0.21</v>
      </c>
      <c r="I66" s="30">
        <v>2.8903717578961645</v>
      </c>
      <c r="K66" s="37"/>
    </row>
    <row r="67" spans="1:11" ht="15" thickBot="1" x14ac:dyDescent="0.35">
      <c r="B67" s="30">
        <v>2023</v>
      </c>
      <c r="C67" s="34">
        <v>1.24E-2</v>
      </c>
      <c r="D67" s="34">
        <v>1.5900000000000001E-2</v>
      </c>
      <c r="E67" s="30">
        <v>1.6739203213927017E-3</v>
      </c>
      <c r="F67" s="30">
        <v>1367000000</v>
      </c>
      <c r="G67" s="30">
        <v>1.0414115247747806</v>
      </c>
      <c r="H67" s="38">
        <v>0.25</v>
      </c>
      <c r="I67" s="30">
        <v>2.8332133440562162</v>
      </c>
      <c r="K67" s="37"/>
    </row>
    <row r="68" spans="1:11" ht="15" thickBot="1" x14ac:dyDescent="0.35">
      <c r="B68" s="30">
        <v>2022</v>
      </c>
      <c r="C68" s="34">
        <v>-0.31069999999999998</v>
      </c>
      <c r="D68" s="34">
        <v>-0.39050000000000001</v>
      </c>
      <c r="E68" s="30">
        <v>9.5648015303682454E-4</v>
      </c>
      <c r="F68" s="30">
        <v>173000000</v>
      </c>
      <c r="G68" s="30">
        <v>1.0197814405382262</v>
      </c>
      <c r="H68" s="38">
        <v>0.31</v>
      </c>
      <c r="I68" s="30">
        <v>2.7725887222397811</v>
      </c>
      <c r="K68" s="37"/>
    </row>
    <row r="69" spans="1:11" ht="15" thickBot="1" x14ac:dyDescent="0.35">
      <c r="B69" s="30">
        <v>2021</v>
      </c>
      <c r="C69" s="34">
        <v>0.23469999999999999</v>
      </c>
      <c r="D69" s="34">
        <v>0.27910000000000001</v>
      </c>
      <c r="E69" s="30">
        <v>1.0897203051216855E-3</v>
      </c>
      <c r="F69" s="30">
        <v>1503000000</v>
      </c>
      <c r="G69" s="30">
        <v>0.99622889295139483</v>
      </c>
      <c r="H69" s="38">
        <v>0.2</v>
      </c>
      <c r="I69" s="30">
        <v>2.7080502011022101</v>
      </c>
      <c r="K69" s="37"/>
    </row>
    <row r="70" spans="1:11" ht="15" thickBot="1" x14ac:dyDescent="0.35">
      <c r="B70" s="30">
        <v>2020</v>
      </c>
      <c r="C70" s="34">
        <v>5.3800000000000001E-2</v>
      </c>
      <c r="D70" s="34">
        <v>6.3200000000000006E-2</v>
      </c>
      <c r="E70" s="30">
        <v>1.1797090051120724E-3</v>
      </c>
      <c r="F70" s="30">
        <v>854000000</v>
      </c>
      <c r="G70" s="30">
        <v>0.97042178127736489</v>
      </c>
      <c r="H70" s="38">
        <v>0.21</v>
      </c>
      <c r="I70" s="30">
        <v>2.6390573296152584</v>
      </c>
      <c r="K70" s="37"/>
    </row>
    <row r="71" spans="1:11" ht="15" thickBot="1" x14ac:dyDescent="0.35">
      <c r="B71" s="30">
        <v>2019</v>
      </c>
      <c r="C71" s="34">
        <v>-4.3299999999999998E-2</v>
      </c>
      <c r="D71" s="34">
        <v>-4.9399999999999999E-2</v>
      </c>
      <c r="E71" s="30">
        <v>0</v>
      </c>
      <c r="F71" s="30">
        <v>552000000</v>
      </c>
      <c r="G71" s="30">
        <v>0.94193873474811107</v>
      </c>
      <c r="H71" s="38">
        <v>0.16</v>
      </c>
      <c r="I71" s="30">
        <v>2.5649493574615367</v>
      </c>
      <c r="K71" s="37"/>
    </row>
    <row r="72" spans="1:11" ht="15" thickBot="1" x14ac:dyDescent="0.35">
      <c r="B72" s="30">
        <v>2018</v>
      </c>
      <c r="C72" s="34">
        <v>-3.3799999999999997E-2</v>
      </c>
      <c r="D72" s="34">
        <v>-3.6799999999999999E-2</v>
      </c>
      <c r="E72" s="30">
        <v>0</v>
      </c>
      <c r="F72" s="30">
        <v>355000000</v>
      </c>
      <c r="G72" s="30">
        <v>0.91023509336532593</v>
      </c>
      <c r="H72" s="38">
        <v>0.08</v>
      </c>
      <c r="I72" s="30">
        <v>2.4849066497880004</v>
      </c>
      <c r="K72" s="37"/>
    </row>
    <row r="73" spans="1:11" ht="15" thickBot="1" x14ac:dyDescent="0.35">
      <c r="B73" s="30">
        <v>2017</v>
      </c>
      <c r="C73" s="34">
        <v>-4.2200000000000001E-2</v>
      </c>
      <c r="D73" s="34">
        <v>-4.7399999999999998E-2</v>
      </c>
      <c r="E73" s="30">
        <v>0</v>
      </c>
      <c r="F73" s="30">
        <v>231000000</v>
      </c>
      <c r="G73" s="30">
        <v>0.87459138292368899</v>
      </c>
      <c r="H73" s="38">
        <v>0.11</v>
      </c>
      <c r="I73" s="30">
        <v>2.3978952727983707</v>
      </c>
      <c r="K73" s="37"/>
    </row>
    <row r="74" spans="1:11" x14ac:dyDescent="0.3">
      <c r="C74" s="39"/>
      <c r="D74" s="39"/>
    </row>
  </sheetData>
  <hyperlinks>
    <hyperlink ref="H66" r:id="rId1" display="0@/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4"/>
  <sheetViews>
    <sheetView zoomScale="88" workbookViewId="0">
      <selection activeCell="D18" sqref="D18"/>
    </sheetView>
  </sheetViews>
  <sheetFormatPr defaultRowHeight="14.4" x14ac:dyDescent="0.3"/>
  <cols>
    <col min="6" max="6" width="8.88671875" style="19"/>
    <col min="7" max="7" width="8.88671875" style="22"/>
    <col min="8" max="8" width="8.88671875" style="7"/>
  </cols>
  <sheetData>
    <row r="1" spans="1:18" ht="15" thickBot="1" x14ac:dyDescent="0.35">
      <c r="A1" t="s">
        <v>89</v>
      </c>
      <c r="B1" t="s">
        <v>0</v>
      </c>
      <c r="C1" t="s">
        <v>1</v>
      </c>
      <c r="D1" t="s">
        <v>2</v>
      </c>
      <c r="E1" t="s">
        <v>3</v>
      </c>
      <c r="F1" s="19" t="s">
        <v>4</v>
      </c>
      <c r="G1" s="22" t="s">
        <v>5</v>
      </c>
      <c r="H1" s="7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P1" s="1" t="s">
        <v>12</v>
      </c>
      <c r="R1" s="4" t="s">
        <v>30</v>
      </c>
    </row>
    <row r="2" spans="1:18" ht="15" thickBot="1" x14ac:dyDescent="0.35">
      <c r="A2" t="s">
        <v>13</v>
      </c>
      <c r="B2">
        <v>2024</v>
      </c>
      <c r="C2" s="5" t="s">
        <v>39</v>
      </c>
      <c r="D2" s="5" t="s">
        <v>31</v>
      </c>
      <c r="E2" s="26">
        <v>1.544837980406933E-2</v>
      </c>
      <c r="F2" s="20" t="s">
        <v>55</v>
      </c>
      <c r="G2" s="23" t="s">
        <v>47</v>
      </c>
      <c r="H2" s="8">
        <v>1.19</v>
      </c>
      <c r="I2">
        <v>23</v>
      </c>
    </row>
    <row r="3" spans="1:18" ht="15" thickBot="1" x14ac:dyDescent="0.35">
      <c r="B3">
        <v>2023</v>
      </c>
      <c r="C3" s="5" t="s">
        <v>40</v>
      </c>
      <c r="D3" s="5" t="s">
        <v>32</v>
      </c>
      <c r="E3">
        <v>1.849237718802936E-2</v>
      </c>
      <c r="F3" s="20" t="s">
        <v>56</v>
      </c>
      <c r="G3" s="23" t="s">
        <v>48</v>
      </c>
      <c r="H3" s="8">
        <v>1.62</v>
      </c>
      <c r="I3">
        <v>24</v>
      </c>
      <c r="P3" s="10" t="s">
        <v>13</v>
      </c>
    </row>
    <row r="4" spans="1:18" ht="15" thickBot="1" x14ac:dyDescent="0.35">
      <c r="B4">
        <v>2022</v>
      </c>
      <c r="C4" s="5" t="s">
        <v>41</v>
      </c>
      <c r="D4" s="5" t="s">
        <v>33</v>
      </c>
      <c r="E4">
        <v>7.0974419636256102E-3</v>
      </c>
      <c r="F4" s="20" t="s">
        <v>57</v>
      </c>
      <c r="G4" s="23" t="s">
        <v>49</v>
      </c>
      <c r="H4" s="7">
        <v>2.17</v>
      </c>
      <c r="I4">
        <v>25</v>
      </c>
      <c r="P4" s="10" t="s">
        <v>14</v>
      </c>
    </row>
    <row r="5" spans="1:18" ht="15" thickBot="1" x14ac:dyDescent="0.35">
      <c r="B5">
        <v>2021</v>
      </c>
      <c r="C5" s="5" t="s">
        <v>42</v>
      </c>
      <c r="D5" s="5" t="s">
        <v>34</v>
      </c>
      <c r="E5">
        <v>4.2448979591836735E-3</v>
      </c>
      <c r="F5" s="20" t="s">
        <v>58</v>
      </c>
      <c r="G5" s="23" t="s">
        <v>50</v>
      </c>
      <c r="H5" s="7">
        <v>2.04</v>
      </c>
      <c r="I5">
        <v>26</v>
      </c>
      <c r="P5" t="s">
        <v>15</v>
      </c>
    </row>
    <row r="6" spans="1:18" ht="15" thickBot="1" x14ac:dyDescent="0.35">
      <c r="B6">
        <v>2020</v>
      </c>
      <c r="C6" s="5" t="s">
        <v>43</v>
      </c>
      <c r="D6" s="5" t="s">
        <v>35</v>
      </c>
      <c r="E6">
        <v>8.8794175102113303E-4</v>
      </c>
      <c r="F6" s="20" t="s">
        <v>59</v>
      </c>
      <c r="G6" s="23" t="s">
        <v>51</v>
      </c>
      <c r="H6" s="7">
        <v>2.44</v>
      </c>
      <c r="I6">
        <v>27</v>
      </c>
      <c r="P6" t="s">
        <v>16</v>
      </c>
    </row>
    <row r="7" spans="1:18" ht="15" thickBot="1" x14ac:dyDescent="0.35">
      <c r="B7">
        <v>2019</v>
      </c>
      <c r="C7" s="5" t="s">
        <v>44</v>
      </c>
      <c r="D7" s="5" t="s">
        <v>36</v>
      </c>
      <c r="E7">
        <v>1.9092066185829445E-3</v>
      </c>
      <c r="F7" s="20" t="s">
        <v>60</v>
      </c>
      <c r="G7" s="23" t="s">
        <v>52</v>
      </c>
      <c r="H7" s="7">
        <v>2.63</v>
      </c>
      <c r="I7">
        <v>28</v>
      </c>
      <c r="P7" t="s">
        <v>17</v>
      </c>
    </row>
    <row r="8" spans="1:18" ht="15" thickBot="1" x14ac:dyDescent="0.35">
      <c r="B8">
        <v>2018</v>
      </c>
      <c r="C8" s="5" t="s">
        <v>45</v>
      </c>
      <c r="D8" s="5" t="s">
        <v>37</v>
      </c>
      <c r="E8">
        <v>2.685546875E-3</v>
      </c>
      <c r="F8" s="20" t="s">
        <v>61</v>
      </c>
      <c r="G8" s="23" t="s">
        <v>53</v>
      </c>
      <c r="H8" s="7">
        <v>2.74</v>
      </c>
      <c r="I8">
        <v>29</v>
      </c>
      <c r="P8" t="s">
        <v>18</v>
      </c>
    </row>
    <row r="9" spans="1:18" ht="15" thickBot="1" x14ac:dyDescent="0.35">
      <c r="B9">
        <v>2017</v>
      </c>
      <c r="C9" s="5" t="s">
        <v>46</v>
      </c>
      <c r="D9" s="5" t="s">
        <v>38</v>
      </c>
      <c r="E9">
        <v>1.8634592580044046E-3</v>
      </c>
      <c r="F9" s="20" t="s">
        <v>62</v>
      </c>
      <c r="G9" s="23" t="s">
        <v>54</v>
      </c>
      <c r="H9" s="7">
        <v>3.74</v>
      </c>
      <c r="I9">
        <v>30</v>
      </c>
      <c r="P9" t="s">
        <v>19</v>
      </c>
    </row>
    <row r="10" spans="1:18" ht="15" thickBot="1" x14ac:dyDescent="0.35">
      <c r="A10" t="s">
        <v>18</v>
      </c>
      <c r="B10">
        <v>2024</v>
      </c>
      <c r="C10" s="5" t="s">
        <v>109</v>
      </c>
      <c r="D10" s="5" t="s">
        <v>101</v>
      </c>
      <c r="E10">
        <v>6.2849162011173187E-3</v>
      </c>
      <c r="F10" s="20" t="s">
        <v>90</v>
      </c>
      <c r="G10" s="24" t="s">
        <v>100</v>
      </c>
      <c r="H10" s="7">
        <v>1.52</v>
      </c>
      <c r="I10">
        <f>138</f>
        <v>138</v>
      </c>
      <c r="R10" s="4" t="s">
        <v>149</v>
      </c>
    </row>
    <row r="11" spans="1:18" ht="15" thickBot="1" x14ac:dyDescent="0.35">
      <c r="B11">
        <v>2023</v>
      </c>
      <c r="C11" s="5" t="s">
        <v>110</v>
      </c>
      <c r="D11" s="5" t="s">
        <v>102</v>
      </c>
      <c r="E11">
        <v>4.5045045045045045E-3</v>
      </c>
      <c r="F11" s="20" t="s">
        <v>91</v>
      </c>
      <c r="G11" s="24" t="s">
        <v>99</v>
      </c>
      <c r="H11" s="7">
        <v>1.44</v>
      </c>
      <c r="I11">
        <f>I10-1</f>
        <v>137</v>
      </c>
      <c r="K11" s="9"/>
    </row>
    <row r="12" spans="1:18" ht="15" thickBot="1" x14ac:dyDescent="0.35">
      <c r="B12">
        <v>2022</v>
      </c>
      <c r="C12" s="5" t="s">
        <v>111</v>
      </c>
      <c r="D12" s="5" t="s">
        <v>103</v>
      </c>
      <c r="E12">
        <v>3.0983733539891559E-3</v>
      </c>
      <c r="F12" s="20" t="s">
        <v>92</v>
      </c>
      <c r="G12" s="25" t="s">
        <v>98</v>
      </c>
      <c r="H12" s="7">
        <v>1.44</v>
      </c>
      <c r="I12">
        <f t="shared" ref="I12:I17" si="0">I11-1</f>
        <v>136</v>
      </c>
      <c r="K12" s="9"/>
    </row>
    <row r="13" spans="1:18" ht="15" thickBot="1" x14ac:dyDescent="0.35">
      <c r="B13">
        <v>2021</v>
      </c>
      <c r="C13" s="5" t="s">
        <v>112</v>
      </c>
      <c r="D13" s="5" t="s">
        <v>104</v>
      </c>
      <c r="E13">
        <v>7.5471698113207543E-4</v>
      </c>
      <c r="F13" s="20" t="s">
        <v>93</v>
      </c>
      <c r="G13" s="9" t="s">
        <v>144</v>
      </c>
      <c r="H13" s="7">
        <v>1.46</v>
      </c>
      <c r="I13">
        <f t="shared" si="0"/>
        <v>135</v>
      </c>
      <c r="K13" s="9"/>
    </row>
    <row r="14" spans="1:18" ht="15" thickBot="1" x14ac:dyDescent="0.35">
      <c r="B14">
        <v>2020</v>
      </c>
      <c r="C14" s="5" t="s">
        <v>113</v>
      </c>
      <c r="D14" s="5" t="s">
        <v>105</v>
      </c>
      <c r="E14">
        <v>1.0664770707429791E-3</v>
      </c>
      <c r="F14" s="20" t="s">
        <v>94</v>
      </c>
      <c r="G14" s="9" t="s">
        <v>145</v>
      </c>
      <c r="H14" s="7">
        <v>1.76</v>
      </c>
      <c r="I14">
        <f t="shared" si="0"/>
        <v>134</v>
      </c>
      <c r="K14" s="9"/>
    </row>
    <row r="15" spans="1:18" ht="15" thickBot="1" x14ac:dyDescent="0.35">
      <c r="B15">
        <v>2019</v>
      </c>
      <c r="C15" s="5" t="s">
        <v>114</v>
      </c>
      <c r="D15" s="5" t="s">
        <v>106</v>
      </c>
      <c r="E15">
        <v>1.2084592145015106E-3</v>
      </c>
      <c r="F15" s="20" t="s">
        <v>95</v>
      </c>
      <c r="G15" s="9" t="s">
        <v>146</v>
      </c>
      <c r="H15" s="7">
        <v>1.65</v>
      </c>
      <c r="I15">
        <f t="shared" si="0"/>
        <v>133</v>
      </c>
      <c r="K15" s="9"/>
    </row>
    <row r="16" spans="1:18" ht="15" thickBot="1" x14ac:dyDescent="0.35">
      <c r="B16">
        <v>2018</v>
      </c>
      <c r="C16" s="5" t="s">
        <v>115</v>
      </c>
      <c r="D16" s="5" t="s">
        <v>107</v>
      </c>
      <c r="E16">
        <v>4.6674445740956829E-4</v>
      </c>
      <c r="F16" s="20" t="s">
        <v>96</v>
      </c>
      <c r="G16" s="9" t="s">
        <v>147</v>
      </c>
      <c r="H16" s="7">
        <v>1.56</v>
      </c>
      <c r="I16">
        <f t="shared" si="0"/>
        <v>132</v>
      </c>
    </row>
    <row r="17" spans="1:9" ht="15" thickBot="1" x14ac:dyDescent="0.35">
      <c r="B17">
        <v>2017</v>
      </c>
      <c r="C17" s="5" t="s">
        <v>116</v>
      </c>
      <c r="D17" s="5" t="s">
        <v>108</v>
      </c>
      <c r="E17">
        <v>0</v>
      </c>
      <c r="F17" s="20" t="s">
        <v>97</v>
      </c>
      <c r="G17" s="9" t="s">
        <v>148</v>
      </c>
      <c r="H17" s="7">
        <v>1.62</v>
      </c>
      <c r="I17">
        <f t="shared" si="0"/>
        <v>131</v>
      </c>
    </row>
    <row r="18" spans="1:9" ht="15" thickBot="1" x14ac:dyDescent="0.35">
      <c r="A18" t="s">
        <v>19</v>
      </c>
      <c r="B18">
        <v>2024</v>
      </c>
      <c r="C18" s="5" t="s">
        <v>117</v>
      </c>
      <c r="D18" s="5" t="s">
        <v>125</v>
      </c>
      <c r="E18">
        <v>4.8823790501553487E-3</v>
      </c>
      <c r="F18" s="20" t="s">
        <v>133</v>
      </c>
      <c r="G18" s="23" t="s">
        <v>141</v>
      </c>
      <c r="H18" s="7">
        <v>4.1500000000000004</v>
      </c>
      <c r="I18">
        <v>48</v>
      </c>
    </row>
    <row r="19" spans="1:9" ht="15" thickBot="1" x14ac:dyDescent="0.35">
      <c r="B19">
        <v>2023</v>
      </c>
      <c r="C19" s="5" t="s">
        <v>118</v>
      </c>
      <c r="D19" s="5" t="s">
        <v>126</v>
      </c>
      <c r="E19">
        <v>2.3030861354214646E-3</v>
      </c>
      <c r="F19" s="20" t="s">
        <v>134</v>
      </c>
      <c r="G19" s="23" t="s">
        <v>142</v>
      </c>
      <c r="H19" s="7">
        <v>3.77</v>
      </c>
      <c r="I19">
        <f>I18-1</f>
        <v>47</v>
      </c>
    </row>
    <row r="20" spans="1:9" ht="15" thickBot="1" x14ac:dyDescent="0.35">
      <c r="B20">
        <v>2022</v>
      </c>
      <c r="C20" s="5" t="s">
        <v>119</v>
      </c>
      <c r="D20" s="5" t="s">
        <v>127</v>
      </c>
      <c r="E20">
        <v>3.7986704653371322E-3</v>
      </c>
      <c r="F20" s="20" t="s">
        <v>135</v>
      </c>
      <c r="G20" s="23" t="s">
        <v>143</v>
      </c>
      <c r="H20" s="7">
        <v>5.1100000000000003</v>
      </c>
      <c r="I20">
        <f t="shared" ref="I20:I24" si="1">I19-1</f>
        <v>46</v>
      </c>
    </row>
    <row r="21" spans="1:9" ht="15" thickBot="1" x14ac:dyDescent="0.35">
      <c r="B21">
        <v>2021</v>
      </c>
      <c r="C21" s="5" t="s">
        <v>120</v>
      </c>
      <c r="D21" s="5" t="s">
        <v>128</v>
      </c>
      <c r="E21">
        <v>4.1400075272864136E-3</v>
      </c>
      <c r="F21" s="20" t="s">
        <v>136</v>
      </c>
      <c r="G21" s="23" t="s">
        <v>144</v>
      </c>
      <c r="H21" s="7">
        <v>4.3</v>
      </c>
      <c r="I21">
        <f t="shared" si="1"/>
        <v>45</v>
      </c>
    </row>
    <row r="22" spans="1:9" ht="15" thickBot="1" x14ac:dyDescent="0.35">
      <c r="B22">
        <v>2020</v>
      </c>
      <c r="C22" s="5" t="s">
        <v>121</v>
      </c>
      <c r="D22" s="5" t="s">
        <v>129</v>
      </c>
      <c r="E22">
        <v>8.4889643463497452E-4</v>
      </c>
      <c r="F22" s="20" t="s">
        <v>137</v>
      </c>
      <c r="G22" s="23" t="s">
        <v>145</v>
      </c>
      <c r="H22" s="7">
        <v>4.3499999999999996</v>
      </c>
      <c r="I22">
        <f t="shared" si="1"/>
        <v>44</v>
      </c>
    </row>
    <row r="23" spans="1:9" ht="15" thickBot="1" x14ac:dyDescent="0.35">
      <c r="B23">
        <v>2019</v>
      </c>
      <c r="C23" s="5" t="s">
        <v>122</v>
      </c>
      <c r="D23" s="5" t="s">
        <v>130</v>
      </c>
      <c r="E23">
        <v>4.3478260869565218E-3</v>
      </c>
      <c r="F23" s="20" t="s">
        <v>138</v>
      </c>
      <c r="G23" s="23" t="s">
        <v>146</v>
      </c>
      <c r="H23" s="7">
        <v>2.8</v>
      </c>
      <c r="I23">
        <f t="shared" si="1"/>
        <v>43</v>
      </c>
    </row>
    <row r="24" spans="1:9" ht="15" thickBot="1" x14ac:dyDescent="0.35">
      <c r="B24">
        <v>2018</v>
      </c>
      <c r="C24" s="5" t="s">
        <v>123</v>
      </c>
      <c r="D24" s="5" t="s">
        <v>131</v>
      </c>
      <c r="E24">
        <v>1.6042780748663102E-3</v>
      </c>
      <c r="F24" s="20" t="s">
        <v>139</v>
      </c>
      <c r="G24" s="23" t="s">
        <v>147</v>
      </c>
      <c r="H24" s="7">
        <v>2.17</v>
      </c>
      <c r="I24">
        <f t="shared" si="1"/>
        <v>42</v>
      </c>
    </row>
    <row r="25" spans="1:9" ht="15" thickBot="1" x14ac:dyDescent="0.35">
      <c r="B25">
        <v>2017</v>
      </c>
      <c r="C25" s="5" t="s">
        <v>124</v>
      </c>
      <c r="D25" s="5" t="s">
        <v>132</v>
      </c>
      <c r="E25">
        <v>1.6625103906899418E-3</v>
      </c>
      <c r="F25" s="20" t="s">
        <v>140</v>
      </c>
      <c r="G25" s="23" t="s">
        <v>148</v>
      </c>
      <c r="H25" s="7">
        <v>1.9</v>
      </c>
      <c r="I25">
        <f>I24-1</f>
        <v>41</v>
      </c>
    </row>
    <row r="26" spans="1:9" ht="15" thickBot="1" x14ac:dyDescent="0.35">
      <c r="A26" t="s">
        <v>20</v>
      </c>
      <c r="B26">
        <v>2024</v>
      </c>
      <c r="C26" s="5" t="s">
        <v>158</v>
      </c>
      <c r="D26" s="5" t="s">
        <v>150</v>
      </c>
      <c r="E26">
        <v>3.7900056148231329E-3</v>
      </c>
      <c r="F26" s="20" t="s">
        <v>166</v>
      </c>
      <c r="G26" s="23" t="s">
        <v>174</v>
      </c>
      <c r="H26" s="5" t="s">
        <v>182</v>
      </c>
      <c r="I26">
        <v>49</v>
      </c>
    </row>
    <row r="27" spans="1:9" ht="15" thickBot="1" x14ac:dyDescent="0.35">
      <c r="B27">
        <v>2023</v>
      </c>
      <c r="C27" s="5" t="s">
        <v>159</v>
      </c>
      <c r="D27" s="5" t="s">
        <v>151</v>
      </c>
      <c r="E27">
        <v>4.4660194174757284E-3</v>
      </c>
      <c r="F27" s="20" t="s">
        <v>167</v>
      </c>
      <c r="G27" s="23" t="s">
        <v>175</v>
      </c>
      <c r="H27" s="5" t="s">
        <v>183</v>
      </c>
      <c r="I27">
        <f>I26-1</f>
        <v>48</v>
      </c>
    </row>
    <row r="28" spans="1:9" ht="15" thickBot="1" x14ac:dyDescent="0.35">
      <c r="B28">
        <v>2022</v>
      </c>
      <c r="C28" s="5" t="s">
        <v>160</v>
      </c>
      <c r="D28" s="5" t="s">
        <v>152</v>
      </c>
      <c r="E28">
        <v>3.3233632436025259E-3</v>
      </c>
      <c r="F28" s="20" t="s">
        <v>168</v>
      </c>
      <c r="G28" s="23" t="s">
        <v>176</v>
      </c>
      <c r="H28" s="5" t="s">
        <v>184</v>
      </c>
      <c r="I28">
        <f t="shared" ref="I28:I33" si="2">I27-1</f>
        <v>47</v>
      </c>
    </row>
    <row r="29" spans="1:9" ht="15" thickBot="1" x14ac:dyDescent="0.35">
      <c r="B29">
        <v>2021</v>
      </c>
      <c r="C29" s="5" t="s">
        <v>161</v>
      </c>
      <c r="D29" s="5" t="s">
        <v>153</v>
      </c>
      <c r="E29">
        <v>2.7700831024930748E-3</v>
      </c>
      <c r="F29" s="20" t="s">
        <v>169</v>
      </c>
      <c r="G29" s="23" t="s">
        <v>177</v>
      </c>
      <c r="H29" s="5">
        <v>1.1299999999999999</v>
      </c>
      <c r="I29">
        <f t="shared" si="2"/>
        <v>46</v>
      </c>
    </row>
    <row r="30" spans="1:9" ht="15" thickBot="1" x14ac:dyDescent="0.35">
      <c r="B30">
        <v>2020</v>
      </c>
      <c r="C30" s="5" t="s">
        <v>162</v>
      </c>
      <c r="D30" s="5" t="s">
        <v>154</v>
      </c>
      <c r="E30">
        <v>2.8464419475655429E-3</v>
      </c>
      <c r="F30" s="20" t="s">
        <v>170</v>
      </c>
      <c r="G30" s="23" t="s">
        <v>178</v>
      </c>
      <c r="H30" s="5">
        <v>1.34</v>
      </c>
      <c r="I30">
        <f t="shared" si="2"/>
        <v>45</v>
      </c>
    </row>
    <row r="31" spans="1:9" ht="15" thickBot="1" x14ac:dyDescent="0.35">
      <c r="B31">
        <v>2019</v>
      </c>
      <c r="C31" s="5" t="s">
        <v>163</v>
      </c>
      <c r="D31" s="5" t="s">
        <v>155</v>
      </c>
      <c r="E31">
        <v>2.6647717178895007E-3</v>
      </c>
      <c r="F31" s="20" t="s">
        <v>171</v>
      </c>
      <c r="G31" s="23" t="s">
        <v>179</v>
      </c>
      <c r="H31" s="9">
        <v>1.57</v>
      </c>
      <c r="I31">
        <f t="shared" si="2"/>
        <v>44</v>
      </c>
    </row>
    <row r="32" spans="1:9" ht="15" thickBot="1" x14ac:dyDescent="0.35">
      <c r="B32">
        <v>2018</v>
      </c>
      <c r="C32" s="5" t="s">
        <v>164</v>
      </c>
      <c r="D32" s="5" t="s">
        <v>156</v>
      </c>
      <c r="E32">
        <v>1.6577638607478357E-3</v>
      </c>
      <c r="F32" s="20" t="s">
        <v>172</v>
      </c>
      <c r="G32" s="23" t="s">
        <v>180</v>
      </c>
      <c r="H32" s="9">
        <v>1.81</v>
      </c>
      <c r="I32">
        <f t="shared" si="2"/>
        <v>43</v>
      </c>
    </row>
    <row r="33" spans="1:9" ht="15" thickBot="1" x14ac:dyDescent="0.35">
      <c r="B33">
        <v>2017</v>
      </c>
      <c r="C33" s="5" t="s">
        <v>165</v>
      </c>
      <c r="D33" s="5" t="s">
        <v>157</v>
      </c>
      <c r="E33">
        <v>1.2127512127512127E-3</v>
      </c>
      <c r="F33" s="20" t="s">
        <v>173</v>
      </c>
      <c r="G33" s="23" t="s">
        <v>181</v>
      </c>
      <c r="H33" s="9">
        <v>2.27</v>
      </c>
      <c r="I33">
        <f t="shared" si="2"/>
        <v>42</v>
      </c>
    </row>
    <row r="34" spans="1:9" ht="15" thickBot="1" x14ac:dyDescent="0.35">
      <c r="A34" t="s">
        <v>21</v>
      </c>
      <c r="B34">
        <v>2024</v>
      </c>
      <c r="C34" s="5" t="s">
        <v>185</v>
      </c>
      <c r="D34" s="5" t="s">
        <v>193</v>
      </c>
      <c r="E34">
        <v>1.079734219269103E-2</v>
      </c>
      <c r="F34" s="20" t="s">
        <v>201</v>
      </c>
      <c r="G34" s="23" t="s">
        <v>209</v>
      </c>
      <c r="H34" s="18">
        <v>0.39</v>
      </c>
      <c r="I34">
        <v>26</v>
      </c>
    </row>
    <row r="35" spans="1:9" ht="15" thickBot="1" x14ac:dyDescent="0.35">
      <c r="B35">
        <v>2023</v>
      </c>
      <c r="C35" s="5" t="s">
        <v>186</v>
      </c>
      <c r="D35" s="5" t="s">
        <v>194</v>
      </c>
      <c r="E35">
        <v>7.0850202429149798E-3</v>
      </c>
      <c r="F35" s="20" t="s">
        <v>202</v>
      </c>
      <c r="G35" s="23" t="s">
        <v>210</v>
      </c>
      <c r="H35" s="18">
        <v>0.42</v>
      </c>
      <c r="I35">
        <f>I34-1</f>
        <v>25</v>
      </c>
    </row>
    <row r="36" spans="1:9" ht="15" thickBot="1" x14ac:dyDescent="0.35">
      <c r="B36">
        <v>2022</v>
      </c>
      <c r="C36" s="5" t="s">
        <v>187</v>
      </c>
      <c r="D36" s="5" t="s">
        <v>195</v>
      </c>
      <c r="E36">
        <v>4.1858518208455417E-3</v>
      </c>
      <c r="F36" s="20" t="s">
        <v>203</v>
      </c>
      <c r="G36" s="23" t="s">
        <v>211</v>
      </c>
      <c r="H36" s="18">
        <v>0.43</v>
      </c>
      <c r="I36">
        <f t="shared" ref="I36:I41" si="3">I35-1</f>
        <v>24</v>
      </c>
    </row>
    <row r="37" spans="1:9" ht="15" thickBot="1" x14ac:dyDescent="0.35">
      <c r="B37">
        <v>2021</v>
      </c>
      <c r="C37" s="6" t="s">
        <v>188</v>
      </c>
      <c r="D37" s="6" t="s">
        <v>196</v>
      </c>
      <c r="E37">
        <v>4.7787242883856225E-3</v>
      </c>
      <c r="F37" s="20" t="s">
        <v>204</v>
      </c>
      <c r="G37" s="23" t="s">
        <v>212</v>
      </c>
      <c r="H37" s="18">
        <v>0.43</v>
      </c>
      <c r="I37">
        <f t="shared" si="3"/>
        <v>23</v>
      </c>
    </row>
    <row r="38" spans="1:9" ht="15" thickBot="1" x14ac:dyDescent="0.35">
      <c r="B38">
        <v>2020</v>
      </c>
      <c r="C38" s="5" t="s">
        <v>189</v>
      </c>
      <c r="D38" s="5" t="s">
        <v>197</v>
      </c>
      <c r="E38">
        <v>3.4168564920273349E-3</v>
      </c>
      <c r="F38" s="20" t="s">
        <v>205</v>
      </c>
      <c r="G38" s="23" t="s">
        <v>213</v>
      </c>
      <c r="H38" s="18">
        <v>0.44</v>
      </c>
      <c r="I38">
        <f t="shared" si="3"/>
        <v>22</v>
      </c>
    </row>
    <row r="39" spans="1:9" ht="15" thickBot="1" x14ac:dyDescent="0.35">
      <c r="B39">
        <v>2019</v>
      </c>
      <c r="C39" s="5" t="s">
        <v>190</v>
      </c>
      <c r="D39" s="5" t="s">
        <v>198</v>
      </c>
      <c r="E39">
        <v>2.4245095878333701E-3</v>
      </c>
      <c r="F39" s="20" t="s">
        <v>206</v>
      </c>
      <c r="G39" s="23" t="s">
        <v>214</v>
      </c>
      <c r="H39" s="18">
        <v>0.37</v>
      </c>
      <c r="I39">
        <f t="shared" si="3"/>
        <v>21</v>
      </c>
    </row>
    <row r="40" spans="1:9" ht="15" thickBot="1" x14ac:dyDescent="0.35">
      <c r="B40">
        <v>2018</v>
      </c>
      <c r="C40" s="5" t="s">
        <v>191</v>
      </c>
      <c r="D40" s="5" t="s">
        <v>199</v>
      </c>
      <c r="E40">
        <v>2.2417336073229962E-3</v>
      </c>
      <c r="F40" s="20" t="s">
        <v>207</v>
      </c>
      <c r="G40" s="23" t="s">
        <v>215</v>
      </c>
      <c r="H40" s="18">
        <v>0.31</v>
      </c>
      <c r="I40">
        <f t="shared" si="3"/>
        <v>20</v>
      </c>
    </row>
    <row r="41" spans="1:9" ht="15" thickBot="1" x14ac:dyDescent="0.35">
      <c r="B41">
        <v>2017</v>
      </c>
      <c r="C41" s="5" t="s">
        <v>192</v>
      </c>
      <c r="D41" s="5" t="s">
        <v>200</v>
      </c>
      <c r="E41">
        <v>1.7532674529805547E-3</v>
      </c>
      <c r="F41" s="20" t="s">
        <v>208</v>
      </c>
      <c r="G41" s="23" t="s">
        <v>216</v>
      </c>
      <c r="H41" s="18">
        <v>0.28999999999999998</v>
      </c>
      <c r="I41">
        <f t="shared" si="3"/>
        <v>19</v>
      </c>
    </row>
    <row r="42" spans="1:9" ht="15" thickBot="1" x14ac:dyDescent="0.35">
      <c r="A42" t="s">
        <v>22</v>
      </c>
      <c r="B42">
        <v>2024</v>
      </c>
      <c r="C42" s="5" t="s">
        <v>217</v>
      </c>
      <c r="D42" s="5" t="s">
        <v>225</v>
      </c>
      <c r="E42">
        <v>2.3752969121140144E-3</v>
      </c>
      <c r="F42" s="19">
        <v>43.872999999999998</v>
      </c>
      <c r="G42" s="22">
        <v>164.501</v>
      </c>
      <c r="H42" s="5" t="s">
        <v>232</v>
      </c>
      <c r="I42">
        <v>20</v>
      </c>
    </row>
    <row r="43" spans="1:9" ht="15" thickBot="1" x14ac:dyDescent="0.35">
      <c r="B43">
        <v>2023</v>
      </c>
      <c r="C43" s="5" t="s">
        <v>218</v>
      </c>
      <c r="D43" s="5" t="s">
        <v>226</v>
      </c>
      <c r="E43">
        <v>1.7096939647803042E-3</v>
      </c>
      <c r="F43" s="19">
        <v>38.482999999999997</v>
      </c>
      <c r="G43" s="22">
        <v>134.90199999999999</v>
      </c>
      <c r="H43" s="6" t="s">
        <v>233</v>
      </c>
      <c r="I43">
        <f>I42-1</f>
        <v>19</v>
      </c>
    </row>
    <row r="44" spans="1:9" ht="15" thickBot="1" x14ac:dyDescent="0.35">
      <c r="B44">
        <v>2022</v>
      </c>
      <c r="C44" s="5" t="s">
        <v>219</v>
      </c>
      <c r="D44" s="5" t="s">
        <v>227</v>
      </c>
      <c r="E44">
        <v>2.0746887966804979E-3</v>
      </c>
      <c r="F44" s="19">
        <v>35.338000000000001</v>
      </c>
      <c r="G44" s="22">
        <v>116.60899999999999</v>
      </c>
      <c r="H44" s="6" t="s">
        <v>234</v>
      </c>
      <c r="I44">
        <f t="shared" ref="I44:I49" si="4">I43-1</f>
        <v>18</v>
      </c>
    </row>
    <row r="45" spans="1:9" ht="15" thickBot="1" x14ac:dyDescent="0.35">
      <c r="B45">
        <v>2021</v>
      </c>
      <c r="C45" s="5" t="s">
        <v>220</v>
      </c>
      <c r="D45" s="5" t="s">
        <v>228</v>
      </c>
      <c r="E45">
        <v>1.8122508155128669E-3</v>
      </c>
      <c r="F45" s="19">
        <v>24.655000000000001</v>
      </c>
      <c r="G45" s="22">
        <v>117.929</v>
      </c>
      <c r="H45" s="6" t="s">
        <v>235</v>
      </c>
      <c r="I45">
        <f t="shared" si="4"/>
        <v>17</v>
      </c>
    </row>
    <row r="46" spans="1:9" ht="15" thickBot="1" x14ac:dyDescent="0.35">
      <c r="B46">
        <v>2020</v>
      </c>
      <c r="C46" s="5" t="s">
        <v>221</v>
      </c>
      <c r="D46" s="5" t="s">
        <v>229</v>
      </c>
      <c r="E46">
        <v>2.4610336341263331E-3</v>
      </c>
      <c r="F46" s="19">
        <v>18.446999999999999</v>
      </c>
      <c r="G46" s="22">
        <v>85.965000000000003</v>
      </c>
      <c r="H46" s="6" t="s">
        <v>236</v>
      </c>
      <c r="I46">
        <f t="shared" si="4"/>
        <v>16</v>
      </c>
    </row>
    <row r="47" spans="1:9" ht="15" thickBot="1" x14ac:dyDescent="0.35">
      <c r="B47">
        <v>2019</v>
      </c>
      <c r="C47" s="5" t="s">
        <v>222</v>
      </c>
      <c r="D47" s="5" t="s">
        <v>221</v>
      </c>
      <c r="E47">
        <v>1.961938395134393E-3</v>
      </c>
      <c r="F47" s="19">
        <v>13.6</v>
      </c>
      <c r="G47" s="22">
        <v>70.697000000000003</v>
      </c>
      <c r="H47" s="6" t="s">
        <v>237</v>
      </c>
      <c r="I47">
        <f t="shared" si="4"/>
        <v>15</v>
      </c>
    </row>
    <row r="48" spans="1:9" ht="15" thickBot="1" x14ac:dyDescent="0.35">
      <c r="B48">
        <v>2018</v>
      </c>
      <c r="C48" s="5" t="s">
        <v>223</v>
      </c>
      <c r="D48" s="5" t="s">
        <v>230</v>
      </c>
      <c r="E48">
        <v>1.4011208967173738E-3</v>
      </c>
      <c r="F48" s="19">
        <v>10.273</v>
      </c>
      <c r="G48" s="22">
        <v>55.838000000000001</v>
      </c>
      <c r="H48" s="6" t="s">
        <v>238</v>
      </c>
      <c r="I48">
        <f t="shared" si="4"/>
        <v>14</v>
      </c>
    </row>
    <row r="49" spans="1:9" ht="15" thickBot="1" x14ac:dyDescent="0.35">
      <c r="B49">
        <v>2017</v>
      </c>
      <c r="C49" s="5" t="s">
        <v>224</v>
      </c>
      <c r="D49" s="5" t="s">
        <v>231</v>
      </c>
      <c r="E49" s="26">
        <v>8.6670133472005549E-4</v>
      </c>
      <c r="F49" s="19">
        <v>7.7539999999999996</v>
      </c>
      <c r="G49" s="22">
        <v>40.652999999999999</v>
      </c>
      <c r="H49" s="6" t="s">
        <v>239</v>
      </c>
      <c r="I49">
        <f t="shared" si="4"/>
        <v>13</v>
      </c>
    </row>
    <row r="50" spans="1:9" s="26" customFormat="1" ht="15" thickBot="1" x14ac:dyDescent="0.35">
      <c r="A50" s="26" t="s">
        <v>23</v>
      </c>
      <c r="B50" s="26">
        <v>2024</v>
      </c>
      <c r="C50" s="5" t="s">
        <v>246</v>
      </c>
      <c r="D50" s="5" t="s">
        <v>254</v>
      </c>
      <c r="E50">
        <v>6.5079955373744886E-3</v>
      </c>
      <c r="F50" s="26">
        <v>16.545999999999999</v>
      </c>
      <c r="G50" s="26">
        <v>53.100999999999999</v>
      </c>
      <c r="H50" s="6" t="s">
        <v>240</v>
      </c>
      <c r="I50" s="26">
        <v>55</v>
      </c>
    </row>
    <row r="51" spans="1:9" ht="15" thickBot="1" x14ac:dyDescent="0.35">
      <c r="B51">
        <v>2023</v>
      </c>
      <c r="C51" s="5" t="s">
        <v>247</v>
      </c>
      <c r="D51" s="5" t="s">
        <v>255</v>
      </c>
      <c r="E51">
        <v>6.1138708444784104E-3</v>
      </c>
      <c r="F51" s="19">
        <v>16.545999999999999</v>
      </c>
      <c r="G51" s="22">
        <v>54.228000000000002</v>
      </c>
      <c r="H51" s="6" t="s">
        <v>241</v>
      </c>
      <c r="I51">
        <f>I50-1</f>
        <v>54</v>
      </c>
    </row>
    <row r="52" spans="1:9" ht="15" thickBot="1" x14ac:dyDescent="0.35">
      <c r="B52">
        <v>2022</v>
      </c>
      <c r="C52" s="5" t="s">
        <v>248</v>
      </c>
      <c r="D52" s="5" t="s">
        <v>253</v>
      </c>
      <c r="E52">
        <v>5.2939028842643298E-3</v>
      </c>
      <c r="F52" s="19">
        <v>16.045999999999999</v>
      </c>
      <c r="G52" s="22">
        <v>63.054000000000002</v>
      </c>
      <c r="H52" s="6" t="s">
        <v>182</v>
      </c>
      <c r="I52">
        <f t="shared" ref="I52:I57" si="5">I51-1</f>
        <v>53</v>
      </c>
    </row>
    <row r="53" spans="1:9" ht="15" thickBot="1" x14ac:dyDescent="0.35">
      <c r="B53">
        <v>2021</v>
      </c>
      <c r="C53" s="5" t="s">
        <v>249</v>
      </c>
      <c r="D53" s="5" t="s">
        <v>256</v>
      </c>
      <c r="E53">
        <v>6.3278220044907128E-3</v>
      </c>
      <c r="F53" s="19">
        <v>17.527999999999999</v>
      </c>
      <c r="G53" s="22">
        <v>79.024000000000001</v>
      </c>
      <c r="H53" s="6" t="s">
        <v>242</v>
      </c>
      <c r="I53">
        <f t="shared" si="5"/>
        <v>52</v>
      </c>
    </row>
    <row r="54" spans="1:9" ht="15" thickBot="1" x14ac:dyDescent="0.35">
      <c r="B54">
        <v>2020</v>
      </c>
      <c r="C54" s="5" t="s">
        <v>250</v>
      </c>
      <c r="D54" s="5" t="s">
        <v>257</v>
      </c>
      <c r="E54">
        <v>8.4621044885945552E-3</v>
      </c>
      <c r="F54" s="19">
        <v>15.19</v>
      </c>
      <c r="G54" s="22">
        <v>77.867000000000004</v>
      </c>
      <c r="H54" s="6" t="s">
        <v>243</v>
      </c>
      <c r="I54">
        <f t="shared" si="5"/>
        <v>51</v>
      </c>
    </row>
    <row r="55" spans="1:9" ht="15" thickBot="1" x14ac:dyDescent="0.35">
      <c r="B55">
        <v>2019</v>
      </c>
      <c r="C55" s="5" t="s">
        <v>251</v>
      </c>
      <c r="D55" s="5" t="s">
        <v>258</v>
      </c>
      <c r="E55">
        <v>5.9119772279395662E-3</v>
      </c>
      <c r="F55" s="19">
        <v>13.555999999999999</v>
      </c>
      <c r="G55" s="22">
        <v>71.965000000000003</v>
      </c>
      <c r="H55" s="6" t="s">
        <v>182</v>
      </c>
      <c r="I55">
        <f t="shared" si="5"/>
        <v>50</v>
      </c>
    </row>
    <row r="56" spans="1:9" ht="15" thickBot="1" x14ac:dyDescent="0.35">
      <c r="B56">
        <v>2018</v>
      </c>
      <c r="C56" s="5" t="s">
        <v>252</v>
      </c>
      <c r="D56" s="5" t="s">
        <v>259</v>
      </c>
      <c r="E56">
        <v>4.413472706155633E-3</v>
      </c>
      <c r="F56" s="19">
        <v>13.362</v>
      </c>
      <c r="G56" s="22">
        <v>70.847999999999999</v>
      </c>
      <c r="H56" s="6" t="s">
        <v>244</v>
      </c>
      <c r="I56">
        <f t="shared" si="5"/>
        <v>49</v>
      </c>
    </row>
    <row r="57" spans="1:9" ht="15" thickBot="1" x14ac:dyDescent="0.35">
      <c r="B57">
        <v>2017</v>
      </c>
      <c r="C57" s="5" t="s">
        <v>253</v>
      </c>
      <c r="D57" s="5" t="s">
        <v>260</v>
      </c>
      <c r="E57" s="11">
        <v>3.3357159876101976E-3</v>
      </c>
      <c r="F57" s="19">
        <v>13.542999999999999</v>
      </c>
      <c r="G57" s="22">
        <v>62.761000000000003</v>
      </c>
      <c r="H57" s="6" t="s">
        <v>245</v>
      </c>
      <c r="I57">
        <f t="shared" si="5"/>
        <v>48</v>
      </c>
    </row>
    <row r="58" spans="1:9" s="11" customFormat="1" ht="15" thickBot="1" x14ac:dyDescent="0.35">
      <c r="A58" s="11" t="s">
        <v>25</v>
      </c>
      <c r="B58" s="11">
        <v>2024</v>
      </c>
      <c r="C58" s="5" t="s">
        <v>269</v>
      </c>
      <c r="D58" s="5" t="s">
        <v>261</v>
      </c>
      <c r="E58">
        <v>1.4774166314900801E-3</v>
      </c>
      <c r="F58" s="19">
        <v>1.4790000000000001</v>
      </c>
      <c r="G58" s="22">
        <v>10.282999999999999</v>
      </c>
      <c r="H58" s="6">
        <v>2.75</v>
      </c>
      <c r="I58" s="11">
        <v>28</v>
      </c>
    </row>
    <row r="59" spans="1:9" ht="15" thickBot="1" x14ac:dyDescent="0.35">
      <c r="A59" t="s">
        <v>277</v>
      </c>
      <c r="B59">
        <v>2023</v>
      </c>
      <c r="C59" s="5" t="s">
        <v>270</v>
      </c>
      <c r="D59" s="5" t="s">
        <v>262</v>
      </c>
      <c r="E59">
        <v>1.289213579716373E-3</v>
      </c>
      <c r="F59" s="19">
        <v>1.4790000000000001</v>
      </c>
      <c r="G59" s="22">
        <v>10.282999999999999</v>
      </c>
      <c r="H59" s="5">
        <v>2.38</v>
      </c>
      <c r="I59" s="11">
        <v>28</v>
      </c>
    </row>
    <row r="60" spans="1:9" ht="15" thickBot="1" x14ac:dyDescent="0.35">
      <c r="B60">
        <v>2022</v>
      </c>
      <c r="C60" s="5" t="s">
        <v>271</v>
      </c>
      <c r="D60" s="5" t="s">
        <v>263</v>
      </c>
      <c r="E60">
        <v>8.9485458612975394E-4</v>
      </c>
      <c r="F60" s="19">
        <v>1.544</v>
      </c>
      <c r="G60" s="22">
        <v>10.112</v>
      </c>
      <c r="H60" s="7">
        <v>3.05</v>
      </c>
      <c r="I60" s="11">
        <v>28</v>
      </c>
    </row>
    <row r="61" spans="1:9" ht="15" thickBot="1" x14ac:dyDescent="0.35">
      <c r="B61">
        <v>2021</v>
      </c>
      <c r="C61" s="5" t="s">
        <v>272</v>
      </c>
      <c r="D61" s="5" t="s">
        <v>264</v>
      </c>
      <c r="E61">
        <v>6.6371681415929203E-4</v>
      </c>
      <c r="F61" s="19">
        <v>1.33</v>
      </c>
      <c r="G61" s="22">
        <v>9.7949999999999999</v>
      </c>
      <c r="H61" s="27">
        <v>1.72</v>
      </c>
      <c r="I61" s="11">
        <v>28</v>
      </c>
    </row>
    <row r="62" spans="1:9" ht="15" thickBot="1" x14ac:dyDescent="0.35">
      <c r="B62">
        <v>2020</v>
      </c>
      <c r="C62" s="5" t="s">
        <v>273</v>
      </c>
      <c r="D62" s="5" t="s">
        <v>265</v>
      </c>
      <c r="E62">
        <v>4.2735042735042735E-4</v>
      </c>
      <c r="F62" s="19">
        <v>1.325</v>
      </c>
      <c r="G62" s="22">
        <v>10.42</v>
      </c>
      <c r="H62" s="27">
        <v>4.42</v>
      </c>
      <c r="I62" s="11">
        <v>28</v>
      </c>
    </row>
    <row r="63" spans="1:9" ht="15" thickBot="1" x14ac:dyDescent="0.35">
      <c r="B63">
        <v>2019</v>
      </c>
      <c r="C63" s="5" t="s">
        <v>274</v>
      </c>
      <c r="D63" s="5" t="s">
        <v>266</v>
      </c>
      <c r="E63">
        <v>4.2052144659377626E-4</v>
      </c>
      <c r="F63" s="19">
        <v>1.028</v>
      </c>
      <c r="G63" s="22">
        <v>8.8940000000000001</v>
      </c>
      <c r="H63" s="27">
        <v>5.33</v>
      </c>
      <c r="I63" s="11">
        <v>28</v>
      </c>
    </row>
    <row r="64" spans="1:9" ht="15" thickBot="1" x14ac:dyDescent="0.35">
      <c r="B64">
        <v>2018</v>
      </c>
      <c r="C64" s="5" t="s">
        <v>275</v>
      </c>
      <c r="D64" s="5" t="s">
        <v>267</v>
      </c>
      <c r="E64">
        <v>5.6625141562853911E-4</v>
      </c>
      <c r="F64" s="19">
        <v>930</v>
      </c>
      <c r="G64" s="22">
        <v>7.4290000000000003</v>
      </c>
      <c r="H64" s="27">
        <v>2.63</v>
      </c>
      <c r="I64" s="11">
        <v>28</v>
      </c>
    </row>
    <row r="65" spans="1:9" ht="15" thickBot="1" x14ac:dyDescent="0.35">
      <c r="B65">
        <v>2017</v>
      </c>
      <c r="C65" s="5" t="s">
        <v>276</v>
      </c>
      <c r="D65" s="5" t="s">
        <v>268</v>
      </c>
      <c r="E65" s="11">
        <v>0</v>
      </c>
      <c r="F65" s="19">
        <v>1.0509999999999999</v>
      </c>
      <c r="G65" s="22">
        <v>8.65</v>
      </c>
      <c r="H65" s="27">
        <v>2.23</v>
      </c>
      <c r="I65" s="11">
        <v>28</v>
      </c>
    </row>
    <row r="66" spans="1:9" s="11" customFormat="1" ht="15" thickBot="1" x14ac:dyDescent="0.35">
      <c r="A66" s="11" t="s">
        <v>26</v>
      </c>
      <c r="B66" s="11">
        <v>2024</v>
      </c>
      <c r="C66" s="5" t="s">
        <v>278</v>
      </c>
      <c r="D66" s="5" t="s">
        <v>285</v>
      </c>
      <c r="E66">
        <v>1.8832391713747645E-3</v>
      </c>
      <c r="F66" s="19">
        <v>1.367</v>
      </c>
      <c r="G66" s="22">
        <v>8.8800000000000008</v>
      </c>
      <c r="H66" s="27">
        <v>0.21</v>
      </c>
      <c r="I66" s="11">
        <v>18</v>
      </c>
    </row>
    <row r="67" spans="1:9" ht="15" thickBot="1" x14ac:dyDescent="0.35">
      <c r="B67">
        <v>2023</v>
      </c>
      <c r="C67" s="5" t="s">
        <v>64</v>
      </c>
      <c r="D67" s="5" t="s">
        <v>286</v>
      </c>
      <c r="E67">
        <v>1.6739203213927017E-3</v>
      </c>
      <c r="F67" s="19">
        <v>1.367</v>
      </c>
      <c r="G67" s="22">
        <v>8.8800000000000008</v>
      </c>
      <c r="H67" s="28">
        <v>0.25</v>
      </c>
      <c r="I67">
        <f>I66-1</f>
        <v>17</v>
      </c>
    </row>
    <row r="68" spans="1:9" ht="15" thickBot="1" x14ac:dyDescent="0.35">
      <c r="B68">
        <v>2022</v>
      </c>
      <c r="C68" s="5" t="s">
        <v>279</v>
      </c>
      <c r="D68" s="5" t="s">
        <v>287</v>
      </c>
      <c r="E68">
        <v>9.5648015303682454E-4</v>
      </c>
      <c r="F68" s="19">
        <v>1.73</v>
      </c>
      <c r="G68" s="22">
        <v>7.06</v>
      </c>
      <c r="H68" s="28">
        <v>0.31</v>
      </c>
      <c r="I68">
        <f t="shared" ref="I68:I73" si="6">I67-1</f>
        <v>16</v>
      </c>
    </row>
    <row r="69" spans="1:9" ht="15" thickBot="1" x14ac:dyDescent="0.35">
      <c r="B69">
        <v>2021</v>
      </c>
      <c r="C69" s="5" t="s">
        <v>280</v>
      </c>
      <c r="D69" s="5" t="s">
        <v>117</v>
      </c>
      <c r="E69">
        <v>1.0897203051216855E-3</v>
      </c>
      <c r="F69" s="19">
        <v>1.5029999999999999</v>
      </c>
      <c r="G69" s="22">
        <v>5.6</v>
      </c>
      <c r="H69" s="28">
        <v>0.2</v>
      </c>
      <c r="I69">
        <f t="shared" si="6"/>
        <v>15</v>
      </c>
    </row>
    <row r="70" spans="1:9" ht="15" thickBot="1" x14ac:dyDescent="0.35">
      <c r="B70">
        <v>2020</v>
      </c>
      <c r="C70" s="5" t="s">
        <v>281</v>
      </c>
      <c r="D70" s="5" t="s">
        <v>288</v>
      </c>
      <c r="E70">
        <v>1.1797090051120724E-3</v>
      </c>
      <c r="F70" s="19">
        <v>854</v>
      </c>
      <c r="G70" s="22">
        <v>4.6120000000000001</v>
      </c>
      <c r="H70" s="28">
        <v>0.21</v>
      </c>
      <c r="I70">
        <f t="shared" si="6"/>
        <v>14</v>
      </c>
    </row>
    <row r="71" spans="1:9" ht="15" thickBot="1" x14ac:dyDescent="0.35">
      <c r="B71">
        <v>2019</v>
      </c>
      <c r="C71" s="5" t="s">
        <v>282</v>
      </c>
      <c r="D71" s="5" t="s">
        <v>289</v>
      </c>
      <c r="E71">
        <v>0</v>
      </c>
      <c r="F71" s="19">
        <v>552</v>
      </c>
      <c r="G71" s="22">
        <v>2.9289999999999998</v>
      </c>
      <c r="H71" s="28">
        <v>0.16</v>
      </c>
      <c r="I71">
        <f t="shared" si="6"/>
        <v>13</v>
      </c>
    </row>
    <row r="72" spans="1:9" ht="15" thickBot="1" x14ac:dyDescent="0.35">
      <c r="B72">
        <v>2018</v>
      </c>
      <c r="C72" s="5" t="s">
        <v>283</v>
      </c>
      <c r="D72" s="5" t="s">
        <v>290</v>
      </c>
      <c r="E72">
        <v>0</v>
      </c>
      <c r="F72" s="19">
        <v>355</v>
      </c>
      <c r="G72" s="22">
        <v>1.5780000000000001</v>
      </c>
      <c r="H72" s="28">
        <v>0.08</v>
      </c>
      <c r="I72">
        <f t="shared" si="6"/>
        <v>12</v>
      </c>
    </row>
    <row r="73" spans="1:9" ht="15" thickBot="1" x14ac:dyDescent="0.35">
      <c r="B73">
        <v>2017</v>
      </c>
      <c r="C73" s="5" t="s">
        <v>284</v>
      </c>
      <c r="D73" s="5" t="s">
        <v>291</v>
      </c>
      <c r="E73">
        <v>0</v>
      </c>
      <c r="F73" s="19">
        <v>231</v>
      </c>
      <c r="G73" s="22">
        <v>1.073</v>
      </c>
      <c r="H73" s="28">
        <v>0.11</v>
      </c>
      <c r="I73">
        <f t="shared" si="6"/>
        <v>11</v>
      </c>
    </row>
    <row r="74" spans="1:9" x14ac:dyDescent="0.3">
      <c r="C74" s="5"/>
      <c r="D74" s="5"/>
    </row>
  </sheetData>
  <hyperlinks>
    <hyperlink ref="R1" r:id="rId1" display="https://www.bankrate.com/banking/jpm-big-banks-spend-billions-on-tech-but-theyre-still-laggards/"/>
    <hyperlink ref="R10" r:id="rId2" display="https://www.macrotrends.net/stocks/charts/JNJ/johnson-johnson/revenue"/>
    <hyperlink ref="H66" r:id="rId3" display="0@/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3"/>
  <sheetViews>
    <sheetView topLeftCell="A48" workbookViewId="0">
      <selection activeCell="E1" sqref="E1:E73"/>
    </sheetView>
  </sheetViews>
  <sheetFormatPr defaultRowHeight="14.4" x14ac:dyDescent="0.3"/>
  <cols>
    <col min="5" max="5" width="9.88671875" style="29" bestFit="1" customWidth="1"/>
  </cols>
  <sheetData>
    <row r="1" spans="1:6" x14ac:dyDescent="0.3">
      <c r="B1" t="s">
        <v>294</v>
      </c>
      <c r="C1" t="s">
        <v>292</v>
      </c>
      <c r="D1" t="s">
        <v>293</v>
      </c>
      <c r="E1" s="29" t="s">
        <v>295</v>
      </c>
    </row>
    <row r="2" spans="1:6" x14ac:dyDescent="0.3">
      <c r="A2" s="10" t="s">
        <v>13</v>
      </c>
      <c r="B2">
        <v>2024</v>
      </c>
      <c r="C2">
        <f>27+14+4+20+4+1+12</f>
        <v>82</v>
      </c>
      <c r="D2">
        <v>5308</v>
      </c>
      <c r="E2" s="29">
        <f>C2/D2</f>
        <v>1.544837980406933E-2</v>
      </c>
    </row>
    <row r="3" spans="1:6" x14ac:dyDescent="0.3">
      <c r="B3">
        <v>2023</v>
      </c>
      <c r="C3">
        <f>30+18+1+3+5+22+12+1+18+6+7+8</f>
        <v>131</v>
      </c>
      <c r="D3">
        <v>7084</v>
      </c>
      <c r="E3" s="29">
        <f>C3/D3</f>
        <v>1.849237718802936E-2</v>
      </c>
    </row>
    <row r="4" spans="1:6" x14ac:dyDescent="0.3">
      <c r="B4">
        <v>2022</v>
      </c>
      <c r="C4">
        <f>5+6+16+11+2+4+2+2</f>
        <v>48</v>
      </c>
      <c r="D4">
        <v>6763</v>
      </c>
      <c r="E4" s="29">
        <f>C4/D4</f>
        <v>7.0974419636256102E-3</v>
      </c>
    </row>
    <row r="5" spans="1:6" x14ac:dyDescent="0.3">
      <c r="B5">
        <v>2021</v>
      </c>
      <c r="C5">
        <f>2+2+10+6+3+2+1</f>
        <v>26</v>
      </c>
      <c r="D5">
        <v>6125</v>
      </c>
      <c r="E5" s="29">
        <f>C5/D5</f>
        <v>4.2448979591836735E-3</v>
      </c>
    </row>
    <row r="6" spans="1:6" x14ac:dyDescent="0.3">
      <c r="B6">
        <v>2020</v>
      </c>
      <c r="C6">
        <f>2+1+2</f>
        <v>5</v>
      </c>
      <c r="D6">
        <v>5631</v>
      </c>
      <c r="E6" s="29">
        <f t="shared" ref="E6:E24" si="0">C6/D6</f>
        <v>8.8794175102113303E-4</v>
      </c>
    </row>
    <row r="7" spans="1:6" x14ac:dyDescent="0.3">
      <c r="B7">
        <v>2019</v>
      </c>
      <c r="C7">
        <f>2+1+6</f>
        <v>9</v>
      </c>
      <c r="D7">
        <v>4714</v>
      </c>
      <c r="E7" s="29">
        <f t="shared" si="0"/>
        <v>1.9092066185829445E-3</v>
      </c>
    </row>
    <row r="8" spans="1:6" x14ac:dyDescent="0.3">
      <c r="B8">
        <v>2018</v>
      </c>
      <c r="C8">
        <f>2+3+6</f>
        <v>11</v>
      </c>
      <c r="D8">
        <v>4096</v>
      </c>
      <c r="E8" s="29">
        <f t="shared" si="0"/>
        <v>2.685546875E-3</v>
      </c>
    </row>
    <row r="9" spans="1:6" x14ac:dyDescent="0.3">
      <c r="B9">
        <v>2017</v>
      </c>
      <c r="C9">
        <f>2+6+3</f>
        <v>11</v>
      </c>
      <c r="D9">
        <v>5903</v>
      </c>
      <c r="E9" s="29">
        <f t="shared" si="0"/>
        <v>1.8634592580044046E-3</v>
      </c>
    </row>
    <row r="10" spans="1:6" x14ac:dyDescent="0.3">
      <c r="A10" t="s">
        <v>18</v>
      </c>
      <c r="B10">
        <v>2024</v>
      </c>
      <c r="C10">
        <v>9</v>
      </c>
      <c r="D10">
        <v>1432</v>
      </c>
      <c r="E10" s="29">
        <f>C10/D10</f>
        <v>6.2849162011173187E-3</v>
      </c>
    </row>
    <row r="11" spans="1:6" x14ac:dyDescent="0.3">
      <c r="B11">
        <v>2023</v>
      </c>
      <c r="C11">
        <v>7</v>
      </c>
      <c r="D11">
        <v>1554</v>
      </c>
      <c r="E11" s="29">
        <f>C11/D11</f>
        <v>4.5045045045045045E-3</v>
      </c>
    </row>
    <row r="12" spans="1:6" x14ac:dyDescent="0.3">
      <c r="B12">
        <v>2022</v>
      </c>
      <c r="C12">
        <v>4</v>
      </c>
      <c r="D12">
        <v>1291</v>
      </c>
      <c r="E12" s="29">
        <f t="shared" si="0"/>
        <v>3.0983733539891559E-3</v>
      </c>
    </row>
    <row r="13" spans="1:6" x14ac:dyDescent="0.3">
      <c r="A13" s="10"/>
      <c r="B13">
        <v>2021</v>
      </c>
      <c r="C13">
        <v>2</v>
      </c>
      <c r="D13">
        <v>2650</v>
      </c>
      <c r="E13" s="29">
        <f t="shared" si="0"/>
        <v>7.5471698113207543E-4</v>
      </c>
    </row>
    <row r="14" spans="1:6" x14ac:dyDescent="0.3">
      <c r="B14">
        <v>2020</v>
      </c>
      <c r="C14">
        <v>3</v>
      </c>
      <c r="D14">
        <v>2813</v>
      </c>
      <c r="E14" s="29">
        <f t="shared" si="0"/>
        <v>1.0664770707429791E-3</v>
      </c>
      <c r="F14" s="4" t="s">
        <v>297</v>
      </c>
    </row>
    <row r="15" spans="1:6" x14ac:dyDescent="0.3">
      <c r="B15">
        <v>2019</v>
      </c>
      <c r="C15">
        <v>4</v>
      </c>
      <c r="D15">
        <v>3310</v>
      </c>
      <c r="E15" s="29">
        <f t="shared" si="0"/>
        <v>1.2084592145015106E-3</v>
      </c>
      <c r="F15" s="4" t="s">
        <v>296</v>
      </c>
    </row>
    <row r="16" spans="1:6" x14ac:dyDescent="0.3">
      <c r="B16">
        <v>2018</v>
      </c>
      <c r="C16">
        <v>2</v>
      </c>
      <c r="D16">
        <v>4285</v>
      </c>
      <c r="E16" s="29">
        <f t="shared" si="0"/>
        <v>4.6674445740956829E-4</v>
      </c>
    </row>
    <row r="17" spans="1:6" x14ac:dyDescent="0.3">
      <c r="B17">
        <v>2017</v>
      </c>
      <c r="C17">
        <v>0</v>
      </c>
      <c r="D17">
        <v>2938</v>
      </c>
      <c r="E17" s="29">
        <f t="shared" si="0"/>
        <v>0</v>
      </c>
    </row>
    <row r="18" spans="1:6" x14ac:dyDescent="0.3">
      <c r="A18" t="s">
        <v>19</v>
      </c>
      <c r="B18">
        <v>2024</v>
      </c>
      <c r="C18">
        <v>11</v>
      </c>
      <c r="D18">
        <v>2253</v>
      </c>
      <c r="E18" s="29">
        <f t="shared" si="0"/>
        <v>4.8823790501553487E-3</v>
      </c>
      <c r="F18" s="4" t="s">
        <v>304</v>
      </c>
    </row>
    <row r="19" spans="1:6" x14ac:dyDescent="0.3">
      <c r="B19">
        <v>2023</v>
      </c>
      <c r="C19">
        <v>5</v>
      </c>
      <c r="D19">
        <v>2171</v>
      </c>
      <c r="E19" s="29">
        <f t="shared" si="0"/>
        <v>2.3030861354214646E-3</v>
      </c>
      <c r="F19" s="4" t="s">
        <v>302</v>
      </c>
    </row>
    <row r="20" spans="1:6" x14ac:dyDescent="0.3">
      <c r="B20">
        <v>2022</v>
      </c>
      <c r="C20">
        <v>8</v>
      </c>
      <c r="D20">
        <v>2106</v>
      </c>
      <c r="E20" s="29">
        <f t="shared" si="0"/>
        <v>3.7986704653371322E-3</v>
      </c>
      <c r="F20" s="4" t="s">
        <v>301</v>
      </c>
    </row>
    <row r="21" spans="1:6" x14ac:dyDescent="0.3">
      <c r="B21">
        <v>2021</v>
      </c>
      <c r="C21">
        <v>11</v>
      </c>
      <c r="D21">
        <v>2657</v>
      </c>
      <c r="E21" s="29">
        <f t="shared" si="0"/>
        <v>4.1400075272864136E-3</v>
      </c>
      <c r="F21" s="4" t="s">
        <v>300</v>
      </c>
    </row>
    <row r="22" spans="1:6" x14ac:dyDescent="0.3">
      <c r="B22">
        <v>2020</v>
      </c>
      <c r="C22">
        <v>2</v>
      </c>
      <c r="D22">
        <v>2356</v>
      </c>
      <c r="E22" s="29">
        <f t="shared" si="0"/>
        <v>8.4889643463497452E-4</v>
      </c>
      <c r="F22" s="4" t="s">
        <v>299</v>
      </c>
    </row>
    <row r="23" spans="1:6" x14ac:dyDescent="0.3">
      <c r="B23">
        <v>2019</v>
      </c>
      <c r="C23">
        <v>5</v>
      </c>
      <c r="D23">
        <v>1150</v>
      </c>
      <c r="E23" s="29">
        <f t="shared" si="0"/>
        <v>4.3478260869565218E-3</v>
      </c>
    </row>
    <row r="24" spans="1:6" x14ac:dyDescent="0.3">
      <c r="B24">
        <v>2018</v>
      </c>
      <c r="C24">
        <v>9</v>
      </c>
      <c r="D24">
        <v>5610</v>
      </c>
      <c r="E24" s="29">
        <f t="shared" si="0"/>
        <v>1.6042780748663102E-3</v>
      </c>
    </row>
    <row r="25" spans="1:6" x14ac:dyDescent="0.3">
      <c r="B25">
        <v>2017</v>
      </c>
      <c r="C25">
        <v>8</v>
      </c>
      <c r="D25">
        <v>4812</v>
      </c>
      <c r="E25" s="29">
        <f>C25/D25</f>
        <v>1.6625103906899418E-3</v>
      </c>
      <c r="F25" s="4" t="s">
        <v>298</v>
      </c>
    </row>
    <row r="26" spans="1:6" x14ac:dyDescent="0.3">
      <c r="A26" t="s">
        <v>20</v>
      </c>
      <c r="B26">
        <v>2024</v>
      </c>
      <c r="C26">
        <v>27</v>
      </c>
      <c r="D26">
        <v>7124</v>
      </c>
      <c r="E26" s="29">
        <f>C26/D26</f>
        <v>3.7900056148231329E-3</v>
      </c>
      <c r="F26" s="4" t="s">
        <v>312</v>
      </c>
    </row>
    <row r="27" spans="1:6" x14ac:dyDescent="0.3">
      <c r="B27">
        <v>2023</v>
      </c>
      <c r="C27">
        <v>23</v>
      </c>
      <c r="D27">
        <v>5150</v>
      </c>
      <c r="E27" s="29">
        <f>C27/D27</f>
        <v>4.4660194174757284E-3</v>
      </c>
      <c r="F27" s="4" t="s">
        <v>311</v>
      </c>
    </row>
    <row r="28" spans="1:6" x14ac:dyDescent="0.3">
      <c r="B28">
        <v>2022</v>
      </c>
      <c r="C28">
        <v>20</v>
      </c>
      <c r="D28">
        <v>6018</v>
      </c>
      <c r="E28" s="29">
        <f t="shared" ref="E26:E41" si="1">C28/D28</f>
        <v>3.3233632436025259E-3</v>
      </c>
      <c r="F28" s="4" t="s">
        <v>310</v>
      </c>
    </row>
    <row r="29" spans="1:6" x14ac:dyDescent="0.3">
      <c r="B29">
        <v>2021</v>
      </c>
      <c r="C29">
        <v>18</v>
      </c>
      <c r="D29">
        <v>6498</v>
      </c>
      <c r="E29" s="29">
        <f t="shared" si="1"/>
        <v>2.7700831024930748E-3</v>
      </c>
      <c r="F29" s="4" t="s">
        <v>309</v>
      </c>
    </row>
    <row r="30" spans="1:6" x14ac:dyDescent="0.3">
      <c r="B30">
        <v>2020</v>
      </c>
      <c r="C30">
        <v>19</v>
      </c>
      <c r="D30">
        <v>6675</v>
      </c>
      <c r="E30" s="29">
        <f t="shared" si="1"/>
        <v>2.8464419475655429E-3</v>
      </c>
      <c r="F30" s="4" t="s">
        <v>308</v>
      </c>
    </row>
    <row r="31" spans="1:6" x14ac:dyDescent="0.3">
      <c r="B31">
        <v>2019</v>
      </c>
      <c r="C31">
        <v>15</v>
      </c>
      <c r="D31">
        <v>5629</v>
      </c>
      <c r="E31" s="29">
        <f t="shared" si="1"/>
        <v>2.6647717178895007E-3</v>
      </c>
      <c r="F31" s="4" t="s">
        <v>307</v>
      </c>
    </row>
    <row r="32" spans="1:6" x14ac:dyDescent="0.3">
      <c r="B32">
        <v>2018</v>
      </c>
      <c r="C32">
        <v>9</v>
      </c>
      <c r="D32">
        <v>5429</v>
      </c>
      <c r="E32" s="29">
        <f t="shared" si="1"/>
        <v>1.6577638607478357E-3</v>
      </c>
      <c r="F32" s="4" t="s">
        <v>306</v>
      </c>
    </row>
    <row r="33" spans="1:8" x14ac:dyDescent="0.3">
      <c r="B33">
        <v>2017</v>
      </c>
      <c r="C33">
        <v>7</v>
      </c>
      <c r="D33">
        <v>5772</v>
      </c>
      <c r="E33" s="29">
        <f t="shared" si="1"/>
        <v>1.2127512127512127E-3</v>
      </c>
      <c r="F33" s="4" t="s">
        <v>305</v>
      </c>
    </row>
    <row r="34" spans="1:8" x14ac:dyDescent="0.3">
      <c r="A34" t="s">
        <v>21</v>
      </c>
      <c r="B34">
        <v>2024</v>
      </c>
      <c r="C34">
        <v>52</v>
      </c>
      <c r="D34">
        <v>4816</v>
      </c>
      <c r="E34" s="29">
        <f t="shared" si="1"/>
        <v>1.079734219269103E-2</v>
      </c>
      <c r="F34" s="4" t="s">
        <v>318</v>
      </c>
    </row>
    <row r="35" spans="1:8" x14ac:dyDescent="0.3">
      <c r="B35">
        <v>2023</v>
      </c>
      <c r="C35">
        <v>35</v>
      </c>
      <c r="D35">
        <v>4940</v>
      </c>
      <c r="E35" s="29">
        <f t="shared" si="1"/>
        <v>7.0850202429149798E-3</v>
      </c>
      <c r="F35" s="4" t="s">
        <v>317</v>
      </c>
    </row>
    <row r="36" spans="1:8" x14ac:dyDescent="0.3">
      <c r="B36">
        <v>2022</v>
      </c>
      <c r="C36">
        <v>20</v>
      </c>
      <c r="D36">
        <v>4778</v>
      </c>
      <c r="E36" s="29">
        <f t="shared" si="1"/>
        <v>4.1858518208455417E-3</v>
      </c>
      <c r="F36" s="4" t="s">
        <v>316</v>
      </c>
    </row>
    <row r="37" spans="1:8" x14ac:dyDescent="0.3">
      <c r="B37">
        <v>2021</v>
      </c>
      <c r="C37">
        <v>23</v>
      </c>
      <c r="D37">
        <v>4813</v>
      </c>
      <c r="E37" s="29">
        <f t="shared" si="1"/>
        <v>4.7787242883856225E-3</v>
      </c>
      <c r="F37" s="4" t="s">
        <v>315</v>
      </c>
    </row>
    <row r="38" spans="1:8" x14ac:dyDescent="0.3">
      <c r="B38">
        <v>2020</v>
      </c>
      <c r="C38">
        <v>15</v>
      </c>
      <c r="D38">
        <v>4390</v>
      </c>
      <c r="E38" s="29">
        <f t="shared" si="1"/>
        <v>3.4168564920273349E-3</v>
      </c>
      <c r="F38" s="4" t="s">
        <v>314</v>
      </c>
    </row>
    <row r="39" spans="1:8" x14ac:dyDescent="0.3">
      <c r="B39">
        <v>2019</v>
      </c>
      <c r="C39">
        <v>11</v>
      </c>
      <c r="D39">
        <v>4537</v>
      </c>
      <c r="E39" s="29">
        <f>C39/D39</f>
        <v>2.4245095878333701E-3</v>
      </c>
    </row>
    <row r="40" spans="1:8" x14ac:dyDescent="0.3">
      <c r="B40">
        <v>2018</v>
      </c>
      <c r="C40">
        <v>12</v>
      </c>
      <c r="D40">
        <v>5353</v>
      </c>
      <c r="E40" s="29">
        <f>C40/D40</f>
        <v>2.2417336073229962E-3</v>
      </c>
      <c r="F40" s="4" t="s">
        <v>313</v>
      </c>
    </row>
    <row r="41" spans="1:8" x14ac:dyDescent="0.3">
      <c r="B41">
        <v>2017</v>
      </c>
      <c r="C41">
        <v>11</v>
      </c>
      <c r="D41">
        <v>6274</v>
      </c>
      <c r="E41" s="29">
        <f>C41/D41</f>
        <v>1.7532674529805547E-3</v>
      </c>
      <c r="F41" s="4" t="s">
        <v>313</v>
      </c>
      <c r="H41" t="s">
        <v>303</v>
      </c>
    </row>
    <row r="42" spans="1:8" x14ac:dyDescent="0.3">
      <c r="A42" t="s">
        <v>22</v>
      </c>
      <c r="B42">
        <v>2024</v>
      </c>
      <c r="C42">
        <v>14</v>
      </c>
      <c r="D42">
        <v>5894</v>
      </c>
      <c r="E42" s="29">
        <f t="shared" ref="E42:E56" si="2">C42/D42</f>
        <v>2.3752969121140144E-3</v>
      </c>
    </row>
    <row r="43" spans="1:8" x14ac:dyDescent="0.3">
      <c r="B43">
        <v>2023</v>
      </c>
      <c r="C43">
        <v>10</v>
      </c>
      <c r="D43">
        <v>5849</v>
      </c>
      <c r="E43" s="29">
        <f t="shared" si="2"/>
        <v>1.7096939647803042E-3</v>
      </c>
    </row>
    <row r="44" spans="1:8" x14ac:dyDescent="0.3">
      <c r="B44">
        <v>2022</v>
      </c>
      <c r="C44">
        <v>12</v>
      </c>
      <c r="D44">
        <v>5784</v>
      </c>
      <c r="E44" s="29">
        <f t="shared" si="2"/>
        <v>2.0746887966804979E-3</v>
      </c>
    </row>
    <row r="45" spans="1:8" x14ac:dyDescent="0.3">
      <c r="B45">
        <v>2021</v>
      </c>
      <c r="C45">
        <v>10</v>
      </c>
      <c r="D45">
        <v>5518</v>
      </c>
      <c r="E45" s="29">
        <f>C45/D45</f>
        <v>1.8122508155128669E-3</v>
      </c>
      <c r="F45" s="4" t="s">
        <v>319</v>
      </c>
    </row>
    <row r="46" spans="1:8" x14ac:dyDescent="0.3">
      <c r="B46">
        <v>2020</v>
      </c>
      <c r="C46">
        <v>12</v>
      </c>
      <c r="D46">
        <v>4876</v>
      </c>
      <c r="E46" s="29">
        <f t="shared" si="2"/>
        <v>2.4610336341263331E-3</v>
      </c>
    </row>
    <row r="47" spans="1:8" x14ac:dyDescent="0.3">
      <c r="B47">
        <v>2019</v>
      </c>
      <c r="C47">
        <v>12</v>
      </c>
      <c r="D47">
        <v>5097</v>
      </c>
      <c r="E47" s="29">
        <f>C45/D47</f>
        <v>1.961938395134393E-3</v>
      </c>
      <c r="F47" s="4" t="s">
        <v>320</v>
      </c>
    </row>
    <row r="48" spans="1:8" x14ac:dyDescent="0.3">
      <c r="B48">
        <v>2018</v>
      </c>
      <c r="C48">
        <v>7</v>
      </c>
      <c r="D48">
        <v>4996</v>
      </c>
      <c r="E48" s="29">
        <f t="shared" si="2"/>
        <v>1.4011208967173738E-3</v>
      </c>
      <c r="F48" s="4" t="s">
        <v>313</v>
      </c>
    </row>
    <row r="49" spans="1:7" x14ac:dyDescent="0.3">
      <c r="B49">
        <v>2017</v>
      </c>
      <c r="C49">
        <v>5</v>
      </c>
      <c r="D49">
        <v>5769</v>
      </c>
      <c r="E49" s="29">
        <f t="shared" si="2"/>
        <v>8.6670133472005549E-4</v>
      </c>
      <c r="F49" s="4" t="s">
        <v>313</v>
      </c>
    </row>
    <row r="50" spans="1:7" x14ac:dyDescent="0.3">
      <c r="A50" s="26" t="s">
        <v>23</v>
      </c>
      <c r="B50">
        <v>2024</v>
      </c>
      <c r="C50">
        <v>35</v>
      </c>
      <c r="D50">
        <v>5378</v>
      </c>
      <c r="E50" s="29">
        <f t="shared" si="2"/>
        <v>6.5079955373744886E-3</v>
      </c>
      <c r="F50" s="4" t="s">
        <v>326</v>
      </c>
    </row>
    <row r="51" spans="1:7" x14ac:dyDescent="0.3">
      <c r="B51">
        <v>2023</v>
      </c>
      <c r="C51">
        <v>32</v>
      </c>
      <c r="D51">
        <v>5234</v>
      </c>
      <c r="E51" s="29">
        <f t="shared" si="2"/>
        <v>6.1138708444784104E-3</v>
      </c>
      <c r="F51" s="4" t="s">
        <v>325</v>
      </c>
    </row>
    <row r="52" spans="1:7" x14ac:dyDescent="0.3">
      <c r="B52">
        <v>2022</v>
      </c>
      <c r="C52">
        <v>29</v>
      </c>
      <c r="D52">
        <v>5478</v>
      </c>
      <c r="E52" s="29">
        <f t="shared" si="2"/>
        <v>5.2939028842643298E-3</v>
      </c>
    </row>
    <row r="53" spans="1:7" x14ac:dyDescent="0.3">
      <c r="B53">
        <v>2021</v>
      </c>
      <c r="C53">
        <v>31</v>
      </c>
      <c r="D53">
        <v>4899</v>
      </c>
      <c r="E53" s="29">
        <f t="shared" si="2"/>
        <v>6.3278220044907128E-3</v>
      </c>
      <c r="F53" s="4" t="s">
        <v>324</v>
      </c>
    </row>
    <row r="54" spans="1:7" x14ac:dyDescent="0.3">
      <c r="B54">
        <v>2020</v>
      </c>
      <c r="C54">
        <v>46</v>
      </c>
      <c r="D54">
        <v>5436</v>
      </c>
      <c r="E54" s="29">
        <f t="shared" si="2"/>
        <v>8.4621044885945552E-3</v>
      </c>
      <c r="F54" s="4" t="s">
        <v>323</v>
      </c>
    </row>
    <row r="55" spans="1:7" x14ac:dyDescent="0.3">
      <c r="B55">
        <v>2019</v>
      </c>
      <c r="C55">
        <v>27</v>
      </c>
      <c r="D55">
        <v>4567</v>
      </c>
      <c r="E55" s="29">
        <f t="shared" si="2"/>
        <v>5.9119772279395662E-3</v>
      </c>
      <c r="F55" s="4" t="s">
        <v>322</v>
      </c>
    </row>
    <row r="56" spans="1:7" x14ac:dyDescent="0.3">
      <c r="B56">
        <v>2018</v>
      </c>
      <c r="C56">
        <v>19</v>
      </c>
      <c r="D56">
        <v>4305</v>
      </c>
      <c r="E56" s="29">
        <f t="shared" si="2"/>
        <v>4.413472706155633E-3</v>
      </c>
      <c r="F56" s="4" t="s">
        <v>321</v>
      </c>
    </row>
    <row r="57" spans="1:7" x14ac:dyDescent="0.3">
      <c r="B57">
        <v>2017</v>
      </c>
      <c r="C57">
        <v>14</v>
      </c>
      <c r="D57">
        <v>4197</v>
      </c>
      <c r="E57" s="29">
        <f>C57/D57</f>
        <v>3.3357159876101976E-3</v>
      </c>
    </row>
    <row r="58" spans="1:7" x14ac:dyDescent="0.3">
      <c r="A58" s="11" t="s">
        <v>25</v>
      </c>
      <c r="B58">
        <v>2024</v>
      </c>
      <c r="C58">
        <v>7</v>
      </c>
      <c r="D58">
        <v>4738</v>
      </c>
      <c r="E58" s="29">
        <f t="shared" ref="E58:E72" si="3">C58/D58</f>
        <v>1.4774166314900801E-3</v>
      </c>
    </row>
    <row r="59" spans="1:7" x14ac:dyDescent="0.3">
      <c r="A59" t="s">
        <v>277</v>
      </c>
      <c r="B59">
        <v>2023</v>
      </c>
      <c r="C59">
        <v>6</v>
      </c>
      <c r="D59">
        <v>4654</v>
      </c>
      <c r="E59" s="29">
        <f t="shared" si="3"/>
        <v>1.289213579716373E-3</v>
      </c>
      <c r="G59" t="s">
        <v>303</v>
      </c>
    </row>
    <row r="60" spans="1:7" x14ac:dyDescent="0.3">
      <c r="B60">
        <v>2022</v>
      </c>
      <c r="C60">
        <v>4</v>
      </c>
      <c r="D60">
        <v>4470</v>
      </c>
      <c r="E60" s="29">
        <f t="shared" si="3"/>
        <v>8.9485458612975394E-4</v>
      </c>
    </row>
    <row r="61" spans="1:7" x14ac:dyDescent="0.3">
      <c r="B61">
        <v>2021</v>
      </c>
      <c r="C61">
        <v>3</v>
      </c>
      <c r="D61">
        <v>4520</v>
      </c>
      <c r="E61" s="29">
        <f t="shared" si="3"/>
        <v>6.6371681415929203E-4</v>
      </c>
    </row>
    <row r="62" spans="1:7" x14ac:dyDescent="0.3">
      <c r="B62">
        <v>2020</v>
      </c>
      <c r="C62">
        <v>2</v>
      </c>
      <c r="D62">
        <v>4680</v>
      </c>
      <c r="E62" s="29">
        <f t="shared" si="3"/>
        <v>4.2735042735042735E-4</v>
      </c>
    </row>
    <row r="63" spans="1:7" x14ac:dyDescent="0.3">
      <c r="B63">
        <v>2019</v>
      </c>
      <c r="C63">
        <v>2</v>
      </c>
      <c r="D63">
        <v>4756</v>
      </c>
      <c r="E63" s="29">
        <f t="shared" si="3"/>
        <v>4.2052144659377626E-4</v>
      </c>
    </row>
    <row r="64" spans="1:7" x14ac:dyDescent="0.3">
      <c r="B64">
        <v>2018</v>
      </c>
      <c r="C64">
        <v>3</v>
      </c>
      <c r="D64">
        <v>5298</v>
      </c>
      <c r="E64" s="29">
        <f t="shared" si="3"/>
        <v>5.6625141562853911E-4</v>
      </c>
    </row>
    <row r="65" spans="1:6" x14ac:dyDescent="0.3">
      <c r="B65">
        <v>2017</v>
      </c>
      <c r="C65">
        <v>0</v>
      </c>
      <c r="D65">
        <v>4380</v>
      </c>
      <c r="E65" s="29">
        <f t="shared" si="3"/>
        <v>0</v>
      </c>
      <c r="F65" s="4" t="s">
        <v>326</v>
      </c>
    </row>
    <row r="66" spans="1:6" x14ac:dyDescent="0.3">
      <c r="A66" s="11" t="s">
        <v>26</v>
      </c>
      <c r="B66">
        <v>2024</v>
      </c>
      <c r="C66">
        <v>5</v>
      </c>
      <c r="D66">
        <v>2655</v>
      </c>
      <c r="E66" s="29">
        <f t="shared" si="3"/>
        <v>1.8832391713747645E-3</v>
      </c>
    </row>
    <row r="67" spans="1:6" x14ac:dyDescent="0.3">
      <c r="B67">
        <v>2023</v>
      </c>
      <c r="C67">
        <v>5</v>
      </c>
      <c r="D67">
        <v>2987</v>
      </c>
      <c r="E67" s="29">
        <f t="shared" si="3"/>
        <v>1.6739203213927017E-3</v>
      </c>
    </row>
    <row r="68" spans="1:6" x14ac:dyDescent="0.3">
      <c r="B68">
        <v>2022</v>
      </c>
      <c r="C68">
        <v>4</v>
      </c>
      <c r="D68">
        <v>4182</v>
      </c>
      <c r="E68" s="29">
        <f t="shared" si="3"/>
        <v>9.5648015303682454E-4</v>
      </c>
    </row>
    <row r="69" spans="1:6" x14ac:dyDescent="0.3">
      <c r="B69">
        <v>2021</v>
      </c>
      <c r="C69">
        <v>3</v>
      </c>
      <c r="D69">
        <v>2753</v>
      </c>
      <c r="E69" s="29">
        <f t="shared" si="3"/>
        <v>1.0897203051216855E-3</v>
      </c>
    </row>
    <row r="70" spans="1:6" x14ac:dyDescent="0.3">
      <c r="B70">
        <v>2020</v>
      </c>
      <c r="C70">
        <v>3</v>
      </c>
      <c r="D70">
        <v>2543</v>
      </c>
      <c r="E70" s="29">
        <f t="shared" si="3"/>
        <v>1.1797090051120724E-3</v>
      </c>
    </row>
    <row r="71" spans="1:6" x14ac:dyDescent="0.3">
      <c r="B71">
        <v>2019</v>
      </c>
      <c r="C71">
        <v>0</v>
      </c>
      <c r="D71">
        <v>2897</v>
      </c>
      <c r="E71" s="29">
        <f t="shared" si="3"/>
        <v>0</v>
      </c>
    </row>
    <row r="72" spans="1:6" x14ac:dyDescent="0.3">
      <c r="B72">
        <v>2018</v>
      </c>
      <c r="C72">
        <v>0</v>
      </c>
      <c r="D72">
        <v>2098</v>
      </c>
      <c r="E72" s="29">
        <f t="shared" si="3"/>
        <v>0</v>
      </c>
    </row>
    <row r="73" spans="1:6" x14ac:dyDescent="0.3">
      <c r="B73">
        <v>2017</v>
      </c>
      <c r="C73">
        <v>0</v>
      </c>
      <c r="D73">
        <v>2980</v>
      </c>
      <c r="E73" s="29">
        <f>C73/D73</f>
        <v>0</v>
      </c>
    </row>
  </sheetData>
  <hyperlinks>
    <hyperlink ref="F15" r:id="rId1" location=":~:text=To%20our%20shareholders,-March%2011%2C%202019&amp;text=By%20just%20about%20every%20measure,at%20the%20start%20of%202019." display="https://www.jnj.com/letter-from-our-chairman-and-ceo-2019 - :~:text=To%20our%20shareholders,-March%2011%2C%202019&amp;text=By%20just%20about%20every%20measure,at%20the%20start%20of%202019."/>
    <hyperlink ref="F14" r:id="rId2" display="https://www.jnj.com/letter-from-our-chairman-and-ceo-2020"/>
    <hyperlink ref="F25" r:id="rId3" display="https://www.annualreports.com/HostedData/AnnualReportArchive/a/NASDAQ_AAPL_2017.pdf"/>
    <hyperlink ref="F22" r:id="rId4" display="https://s2.q4cdn.com/470004039/files/doc_financials/2020/ar/_10-K-2020-(As-Filed).pdf"/>
    <hyperlink ref="F21" r:id="rId5" display="https://s2.q4cdn.com/470004039/files/doc_financials/2021/q4/_10-K-2021-(As-Filed).pdf"/>
    <hyperlink ref="F20" r:id="rId6" display="https://s2.q4cdn.com/470004039/files/doc_financials/2022/q4/_10-K-2022-(As-Filed).pdf"/>
    <hyperlink ref="F19" r:id="rId7" display="https://s2.q4cdn.com/470004039/files/doc_earnings/2023/q4/filing/_10-K-Q4-2023-As-Filed.pdf"/>
    <hyperlink ref="F18" r:id="rId8" display="https://s2.q4cdn.com/470004039/files/doc_earnings/2024/q4/filing/10-Q4-2024-As-Filed.pdf"/>
    <hyperlink ref="F33" r:id="rId9" location="ITEM_1A_RISK_FACTORS" display="https://www.sec.gov/Archives/edgar/data/789019/000156459017014900/msft-10k_20170630.htm - ITEM_1A_RISK_FACTORS"/>
    <hyperlink ref="F32" r:id="rId10" display="https://www.sec.gov/Archives/edgar/data/789019/000156459018019062/msft-10k_20180630.htm"/>
    <hyperlink ref="F31" r:id="rId11" display="https://www.sec.gov/Archives/edgar/data/789019/000156459019027952/msft-10k_20190630.htm"/>
    <hyperlink ref="F30" r:id="rId12" display="https://www.sec.gov/Archives/edgar/data/789019/000156459020034944/msft-10k_20200630.htm"/>
    <hyperlink ref="F29" r:id="rId13" location="ITEM_1A_RISK_FACTORS" display="https://www.sec.gov/Archives/edgar/data/789019/000156459021039151/msft-10k_20210630.htm - ITEM_1A_RISK_FACTORS"/>
    <hyperlink ref="F28" r:id="rId14" location="ITEM_1A_RISK_FACTORS" display="https://www.sec.gov/Archives/edgar/data/789019/000156459022026876/msft-10k_20220630.htm - ITEM_1A_RISK_FACTORS"/>
    <hyperlink ref="F27" r:id="rId15" display="https://microsoft.gcs-web.com/static-files/e2931fdb-9823-4130-b2a8-f6b8db0b15a9"/>
    <hyperlink ref="F26" r:id="rId16" location="item_1a_risk_factors" display="https://www.sec.gov/Archives/edgar/data/789019/000095017024087843/msft-20240630.htm - item_1a_risk_factors"/>
    <hyperlink ref="F40" r:id="rId17" display="https://www.sec.gov/Archives/edgar/data/1652044/000165204418000007/goog10-kq42017.htm"/>
    <hyperlink ref="F41" r:id="rId18" display="https://www.sec.gov/Archives/edgar/data/1652044/000165204418000007/goog10-kq42017.htm"/>
    <hyperlink ref="F38" r:id="rId19" display="https://www.sec.gov/Archives/edgar/data/1652044/000165204421000010/goog-20201231.htm"/>
    <hyperlink ref="F37" r:id="rId20" display="https://www.sec.gov/Archives/edgar/data/1652044/000165204422000019/goog-20211231.htm"/>
    <hyperlink ref="F36" r:id="rId21" display="https://www.sec.gov/Archives/edgar/data/1652044/000165204423000016/goog-20221231.htm"/>
    <hyperlink ref="F35" r:id="rId22" display="https://abc.xyz/assets/43/44/675b83d7455885c4615d848d52a4/goog-10-k-2023.pdf"/>
    <hyperlink ref="F34" r:id="rId23" display="https://abc.xyz/assets/77/51/9841ad5c4fbe85b4440c47a4df8d/goog-10-k-2024.pdf"/>
    <hyperlink ref="F49" r:id="rId24" display="https://www.sec.gov/Archives/edgar/data/1326801/000132680118000009/fb-12312017x10k.htm"/>
    <hyperlink ref="F48" r:id="rId25" display="https://www.sec.gov/Archives/edgar/data/1326801/000132680119000009/fb-12312018x10k.htm"/>
    <hyperlink ref="F45" r:id="rId26" display="https://www.sec.gov/Archives/edgar/data/1326801/000132680122000018/fb-20211231.htm"/>
    <hyperlink ref="F47" r:id="rId27" display="https://www.annualreports.com/HostedData/AnnualReportArchive/f/NASDAQ_FB_2019.pdf"/>
    <hyperlink ref="F56" r:id="rId28" display="https://www.intc.com/filings-reports/all-sec-filings/content/0000050863-18-000007/0000050863-18-000007.pdf"/>
    <hyperlink ref="F55" r:id="rId29" display="https://www.intc.com/filings-reports/all-sec-filings/content/0000050863-19-000007/0000050863-19-000007.pdf"/>
    <hyperlink ref="F54" r:id="rId30" display="https://www.intc.com/filings-reports/all-sec-filings/content/0000050863-20-000011/0000050863-20-000011.pdf"/>
    <hyperlink ref="F53" r:id="rId31" display="https://www.intc.com/filings-reports/all-sec-filings/content/0000050863-21-000010/0000050863-21-000010.pdf"/>
    <hyperlink ref="F51" r:id="rId32" display="../../Downloads/0000050863-24-000010_intc-20231230.pdf"/>
    <hyperlink ref="F50" r:id="rId33" display="../../Downloads/0000050863-25-000009_intc-20241228.pdf"/>
    <hyperlink ref="F65" r:id="rId34" display="../../Downloads/0000050863-25-000009_intc-20241228.pdf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workbookViewId="0">
      <selection sqref="A1:XFD16"/>
    </sheetView>
  </sheetViews>
  <sheetFormatPr defaultRowHeight="14.4" x14ac:dyDescent="0.3"/>
  <sheetData>
    <row r="1" spans="1:17" s="11" customFormat="1" ht="15" thickBot="1" x14ac:dyDescent="0.35">
      <c r="A1" s="11" t="s">
        <v>14</v>
      </c>
      <c r="B1" s="11">
        <v>2024</v>
      </c>
      <c r="C1" s="12" t="s">
        <v>63</v>
      </c>
      <c r="D1" s="12" t="s">
        <v>71</v>
      </c>
      <c r="F1" s="20"/>
      <c r="G1" s="15" t="s">
        <v>81</v>
      </c>
      <c r="H1" s="14">
        <v>10.61</v>
      </c>
      <c r="Q1" s="11" t="s">
        <v>20</v>
      </c>
    </row>
    <row r="2" spans="1:17" s="11" customFormat="1" ht="15" thickBot="1" x14ac:dyDescent="0.35">
      <c r="A2" s="11" t="s">
        <v>14</v>
      </c>
      <c r="B2" s="11">
        <v>2023</v>
      </c>
      <c r="C2" s="12" t="s">
        <v>64</v>
      </c>
      <c r="D2" s="12" t="s">
        <v>72</v>
      </c>
      <c r="F2" s="19"/>
      <c r="G2" s="16" t="s">
        <v>80</v>
      </c>
      <c r="H2" s="12">
        <v>10.82</v>
      </c>
      <c r="Q2" s="11" t="s">
        <v>21</v>
      </c>
    </row>
    <row r="3" spans="1:17" s="11" customFormat="1" ht="15.6" thickBot="1" x14ac:dyDescent="0.4">
      <c r="A3" s="11" t="s">
        <v>14</v>
      </c>
      <c r="B3" s="11">
        <v>2022</v>
      </c>
      <c r="C3" s="12" t="s">
        <v>65</v>
      </c>
      <c r="D3" s="12" t="s">
        <v>73</v>
      </c>
      <c r="F3" s="21" t="s">
        <v>87</v>
      </c>
      <c r="G3" s="16" t="s">
        <v>79</v>
      </c>
      <c r="H3" s="14">
        <v>11.54</v>
      </c>
      <c r="N3" s="17" t="s">
        <v>88</v>
      </c>
      <c r="Q3" s="11" t="s">
        <v>22</v>
      </c>
    </row>
    <row r="4" spans="1:17" s="11" customFormat="1" ht="15" thickBot="1" x14ac:dyDescent="0.35">
      <c r="A4" s="11" t="s">
        <v>14</v>
      </c>
      <c r="B4" s="11">
        <v>2021</v>
      </c>
      <c r="C4" s="12" t="s">
        <v>66</v>
      </c>
      <c r="D4" s="12" t="s">
        <v>74</v>
      </c>
      <c r="F4" s="19"/>
      <c r="G4" s="13" t="s">
        <v>82</v>
      </c>
      <c r="H4" s="14">
        <v>11.73</v>
      </c>
      <c r="Q4" s="11" t="s">
        <v>23</v>
      </c>
    </row>
    <row r="5" spans="1:17" s="11" customFormat="1" ht="15" thickBot="1" x14ac:dyDescent="0.35">
      <c r="A5" s="11" t="s">
        <v>14</v>
      </c>
      <c r="B5" s="11">
        <v>2020</v>
      </c>
      <c r="C5" s="12" t="s">
        <v>67</v>
      </c>
      <c r="D5" s="12" t="s">
        <v>75</v>
      </c>
      <c r="F5" s="19"/>
      <c r="G5" s="13" t="s">
        <v>83</v>
      </c>
      <c r="H5" s="14">
        <v>11.12</v>
      </c>
      <c r="Q5" s="11" t="s">
        <v>24</v>
      </c>
    </row>
    <row r="6" spans="1:17" s="11" customFormat="1" ht="15" thickBot="1" x14ac:dyDescent="0.35">
      <c r="A6" s="11" t="s">
        <v>14</v>
      </c>
      <c r="B6" s="11">
        <v>2019</v>
      </c>
      <c r="C6" s="12" t="s">
        <v>68</v>
      </c>
      <c r="D6" s="12" t="s">
        <v>76</v>
      </c>
      <c r="F6" s="19"/>
      <c r="G6" s="13" t="s">
        <v>84</v>
      </c>
      <c r="H6" s="14">
        <v>9.2799999999999994</v>
      </c>
      <c r="Q6" s="11" t="s">
        <v>25</v>
      </c>
    </row>
    <row r="7" spans="1:17" s="11" customFormat="1" ht="15" thickBot="1" x14ac:dyDescent="0.35">
      <c r="A7" s="11" t="s">
        <v>14</v>
      </c>
      <c r="B7" s="11">
        <v>2018</v>
      </c>
      <c r="C7" s="12" t="s">
        <v>69</v>
      </c>
      <c r="D7" s="12" t="s">
        <v>77</v>
      </c>
      <c r="F7" s="19">
        <v>10.8</v>
      </c>
      <c r="G7" s="13" t="s">
        <v>85</v>
      </c>
      <c r="H7" s="14">
        <v>9.2200000000000006</v>
      </c>
      <c r="Q7" s="11" t="s">
        <v>26</v>
      </c>
    </row>
    <row r="8" spans="1:17" s="11" customFormat="1" ht="15" thickBot="1" x14ac:dyDescent="0.35">
      <c r="A8" s="11" t="s">
        <v>14</v>
      </c>
      <c r="B8" s="11">
        <v>2017</v>
      </c>
      <c r="C8" s="12" t="s">
        <v>70</v>
      </c>
      <c r="D8" s="12" t="s">
        <v>78</v>
      </c>
      <c r="F8" s="19"/>
      <c r="G8" s="13" t="s">
        <v>86</v>
      </c>
      <c r="H8" s="14">
        <v>8.91</v>
      </c>
    </row>
    <row r="9" spans="1:17" x14ac:dyDescent="0.3">
      <c r="C9" s="5"/>
      <c r="D9" s="5"/>
      <c r="F9" s="19"/>
      <c r="G9" s="22"/>
      <c r="H9" s="7"/>
      <c r="J9" s="9"/>
    </row>
    <row r="10" spans="1:17" x14ac:dyDescent="0.3">
      <c r="F10" s="19"/>
      <c r="G10" s="22"/>
      <c r="H10" s="7"/>
    </row>
    <row r="11" spans="1:17" x14ac:dyDescent="0.3">
      <c r="F11" s="19"/>
      <c r="G11" s="22"/>
      <c r="H11" s="7"/>
    </row>
    <row r="12" spans="1:17" x14ac:dyDescent="0.3">
      <c r="F12" s="19"/>
      <c r="G12" s="22"/>
      <c r="H12" s="7"/>
    </row>
    <row r="13" spans="1:17" ht="28.2" thickBot="1" x14ac:dyDescent="0.35">
      <c r="A13" s="2" t="s">
        <v>27</v>
      </c>
      <c r="B13" s="2">
        <v>2018</v>
      </c>
      <c r="F13" s="19">
        <v>16</v>
      </c>
      <c r="G13" s="22"/>
      <c r="H13" s="7"/>
    </row>
    <row r="14" spans="1:17" x14ac:dyDescent="0.3">
      <c r="A14" s="3" t="s">
        <v>28</v>
      </c>
      <c r="B14">
        <v>2018</v>
      </c>
      <c r="F14" s="19">
        <v>8</v>
      </c>
      <c r="G14" s="22"/>
      <c r="H14" s="7"/>
    </row>
    <row r="15" spans="1:17" ht="42" thickBot="1" x14ac:dyDescent="0.35">
      <c r="A15" s="2" t="s">
        <v>14</v>
      </c>
      <c r="B15" s="2">
        <v>2018</v>
      </c>
      <c r="F15" s="19">
        <v>10.8</v>
      </c>
      <c r="G15" s="22"/>
      <c r="H15" s="7"/>
    </row>
    <row r="16" spans="1:17" ht="28.2" thickBot="1" x14ac:dyDescent="0.35">
      <c r="A16" s="2" t="s">
        <v>29</v>
      </c>
      <c r="B16" s="2">
        <v>2018</v>
      </c>
      <c r="F16" s="19">
        <v>4</v>
      </c>
      <c r="G16" s="22"/>
      <c r="H16" s="7"/>
    </row>
  </sheetData>
  <hyperlinks>
    <hyperlink ref="N3" r:id="rId1" display="https://www.forbes.com/sites/ronshevlin/2022/01/18/jpmorgan-chase-to-spend-12-billion-on-technologyand-why-other-banks-cant-keep-up/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data (2)</vt:lpstr>
      <vt:lpstr>data</vt:lpstr>
      <vt:lpstr>ии скор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2025-04-08T17:21:39Z</dcterms:modified>
</cp:coreProperties>
</file>